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ueil" sheetId="1" state="visible" r:id="rId3"/>
    <sheet name="Balance" sheetId="2" state="visible" r:id="rId4"/>
    <sheet name="CPC" sheetId="3" state="visible" r:id="rId5"/>
    <sheet name="ESG" sheetId="4" state="visible" r:id="rId6"/>
    <sheet name="Reporting" sheetId="5" state="visible" r:id="rId7"/>
    <sheet name="DASHBOARD" sheetId="6" state="visible" r:id="rId8"/>
    <sheet name="Lecture" sheetId="7" state="visible" r:id="rId9"/>
  </sheets>
  <definedNames>
    <definedName function="false" hidden="false" localSheetId="1" name="_xlnm.Print_Titles" vbProcedure="false">Balance!$6:$6</definedName>
    <definedName function="false" hidden="false" localSheetId="2" name="_xlnm.Print_Titles" vbProcedure="false">CPC!$6:$6</definedName>
    <definedName function="false" hidden="false" localSheetId="5" name="_xlnm.Print_Area" vbProcedure="false">DASHBOARD!$A$1:$P$48</definedName>
    <definedName function="false" hidden="false" localSheetId="3" name="_xlnm.Print_Titles" vbProcedure="false">ESG!$6:$6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<sst xmlns="http://schemas.openxmlformats.org/spreadsheetml/2006/main" count="796" uniqueCount="585">
  <si>
    <t xml:space="preserve">AéroAtlas Composites SARL — DOSSIER DE CLÔTURE 2025 (CGNC)</t>
  </si>
  <si>
    <t xml:space="preserve">Balance → CPC → ESG → Reporting KPI → Dashboard │ Document préparé pour l'expert-auditeur et les investisseurs</t>
  </si>
  <si>
    <t xml:space="preserve">⚠  DONNÉES ILLUSTRATIVES — société et chiffres fictifs, à usage de démonstration du modèle de clôture</t>
  </si>
  <si>
    <t xml:space="preserve">IDENTITÉ DE L'ENTREPRISE</t>
  </si>
  <si>
    <t xml:space="preserve">Nom de l'entreprise</t>
  </si>
  <si>
    <t xml:space="preserve">AéroAtlas Composites SARL</t>
  </si>
  <si>
    <t xml:space="preserve">Forme juridique / Capital</t>
  </si>
  <si>
    <t xml:space="preserve">SARL au capital de 50 000 000,00 MAD</t>
  </si>
  <si>
    <t xml:space="preserve">Secteur</t>
  </si>
  <si>
    <t xml:space="preserve">Aéronautique — sous-traitance de rang 2 (usinage, composites, câblage)</t>
  </si>
  <si>
    <t xml:space="preserve">Exercice</t>
  </si>
  <si>
    <t xml:space="preserve">2025</t>
  </si>
  <si>
    <t xml:space="preserve">Date d'arrêté</t>
  </si>
  <si>
    <t xml:space="preserve">31/12/2025</t>
  </si>
  <si>
    <t xml:space="preserve">Date d'édition</t>
  </si>
  <si>
    <t xml:space="preserve">03/10/2026</t>
  </si>
  <si>
    <t xml:space="preserve">Département</t>
  </si>
  <si>
    <t xml:space="preserve">Direction Administrative &amp; Financière</t>
  </si>
  <si>
    <t xml:space="preserve">Responsable département</t>
  </si>
  <si>
    <t xml:space="preserve">Karim El Fassi (DAF)</t>
  </si>
  <si>
    <t xml:space="preserve">Site</t>
  </si>
  <si>
    <t xml:space="preserve">Midparc — zone d'accélération industrielle, Nouaceur (Casablanca)</t>
  </si>
  <si>
    <t xml:space="preserve">Référentiel</t>
  </si>
  <si>
    <t xml:space="preserve">CGNC — CPC / ESG modèles normaux ; CGI (IS 20 % — ZAI)</t>
  </si>
  <si>
    <t xml:space="preserve">Profil commercial</t>
  </si>
  <si>
    <t xml:space="preserve">70 % du CA à l'export (facturé hors TVA) — 30 % local (TVA 20 %)</t>
  </si>
  <si>
    <t xml:space="preserve">SOMMAIRE</t>
  </si>
  <si>
    <t xml:space="preserve">Onglet</t>
  </si>
  <si>
    <t xml:space="preserve">Contenu</t>
  </si>
  <si>
    <t xml:space="preserve">Accès</t>
  </si>
  <si>
    <t xml:space="preserve">1.  Balance</t>
  </si>
  <si>
    <t xml:space="preserve">Balance générale CGNC classes 1 à 7, Déc. N-1 + 12 mois, contrôle d'équilibre mensuel</t>
  </si>
  <si>
    <t xml:space="preserve">Ouvrir ▸</t>
  </si>
  <si>
    <t xml:space="preserve">2.  CPC</t>
  </si>
  <si>
    <t xml:space="preserve">Compte de produits et charges détaillé (I à XVI), calcul automatique mensuel par racine de compte</t>
  </si>
  <si>
    <t xml:space="preserve">3.  ESG</t>
  </si>
  <si>
    <t xml:space="preserve">État des soldes de gestion : TFR (marge → RN) et CAF / autofinancement, 12 mois</t>
  </si>
  <si>
    <t xml:space="preserve">4.  Reporting</t>
  </si>
  <si>
    <t xml:space="preserve">Élasticité CA/REX, 17 KPI avec benchmark sectoriel, statuts colorés, commentaires et recommandations chiffrés</t>
  </si>
  <si>
    <t xml:space="preserve">5.  DASHBOARD</t>
  </si>
  <si>
    <t xml:space="preserve">Vue direction générale : 4 cartes (CA, DSO, DPO, croissance RN) et 4 graphiques de tendance</t>
  </si>
  <si>
    <t xml:space="preserve">6.  Lecture</t>
  </si>
  <si>
    <t xml:space="preserve">Dictionnaire des indicateurs en langage simple + glossaire</t>
  </si>
  <si>
    <t xml:space="preserve">CONTRÔLES DE COHÉRENCE (calculés en temps réel)</t>
  </si>
  <si>
    <t xml:space="preserve">Balance équilibrée (13 colonnes)</t>
  </si>
  <si>
    <t xml:space="preserve">Résultat CPC = Balance (13 colonnes)</t>
  </si>
  <si>
    <t xml:space="preserve">RN et REX : ESG = CPC (13 colonnes)</t>
  </si>
  <si>
    <t xml:space="preserve">Chiffre d'affaires 2025</t>
  </si>
  <si>
    <t xml:space="preserve">Résultat net 2025</t>
  </si>
  <si>
    <t xml:space="preserve">Capacité d'autofinancement 2025</t>
  </si>
  <si>
    <t xml:space="preserve">MODE D'EMPLOI</t>
  </si>
  <si>
    <t xml:space="preserve">1.  Balance : seule zone de saisie (chiffres en bleu). Pour utiliser une vraie balance, coller les comptes CGNC (4 chiffres) en colonne B, les intitulés en C et les montants signés (Débit +, Crédit −) en D:P, lignes 7 à 400.</t>
  </si>
  <si>
    <t xml:space="preserve">2.  Convention : classes 1 à 5 = soldes de fin de mois ; classes 6 et 7 = mouvements du mois. La colonne Déc. N-1 sert de référence pour les variations de janvier.</t>
  </si>
  <si>
    <t xml:space="preserve">3.  Vérifier que la ligne « Contrôle équilibre » de la Balance et les contrôles ci-dessus sont tous verts avant toute lecture.</t>
  </si>
  <si>
    <t xml:space="preserve">4.  CPC et ESG se calculent automatiquement par racine de compte : aucune saisie, aucun chiffre en dur.</t>
  </si>
  <si>
    <t xml:space="preserve">5.  Reporting : choisir le mois dans la cellule « Mois sélectionné » (liste déroulante). Le tableau des KPI, les statuts et les commentaires chiffrés se mettent à jour.</t>
  </si>
  <si>
    <t xml:space="preserve">6.  Les seuils du benchmark et les hypothèses (part export, TVA, jours/mois) sont modifiables dans le Reporting (cellules en bleu sur fond doré).</t>
  </si>
  <si>
    <t xml:space="preserve">7.  DASHBOARD : choisir le mois dans son propre sélecteur ; les 4 cartes affichent la valeur, l'évolution vs mois précédent et le statut. Les graphiques montrent les 12 mois.</t>
  </si>
  <si>
    <t xml:space="preserve">8.  Couleurs : vert = conforme │ bleu = neutre │ orange = vigilance │ rouge = alerte │ « — » = calcul impossible │ « n.s. » = non significatif. Définitions : onglet Lecture.</t>
  </si>
  <si>
    <t xml:space="preserve">BALANCE GÉNÉRALE MENSUELLE — CGNC (classes 1 à 7)</t>
  </si>
  <si>
    <t xml:space="preserve">← Accueil</t>
  </si>
  <si>
    <t xml:space="preserve">Convention : Débit = +, Crédit = − │ Classes 1 à 5 : soldes de fin de mois │ Classes 6 et 7 : mouvements du mois │ Déc. N-1 = référence</t>
  </si>
  <si>
    <t xml:space="preserve">CONTRÔLE ÉQUILIBRE (doit être = 0)</t>
  </si>
  <si>
    <t xml:space="preserve">N° compte</t>
  </si>
  <si>
    <t xml:space="preserve">Intitulé du compte (CGNC)</t>
  </si>
  <si>
    <t xml:space="preserve">Déc. N-1</t>
  </si>
  <si>
    <t xml:space="preserve">Janvier</t>
  </si>
  <si>
    <t xml:space="preserve">Février</t>
  </si>
  <si>
    <t xml:space="preserve">Mars</t>
  </si>
  <si>
    <t xml:space="preserve">Avril</t>
  </si>
  <si>
    <t xml:space="preserve">Mai</t>
  </si>
  <si>
    <t xml:space="preserve">Juin</t>
  </si>
  <si>
    <t xml:space="preserve">Juillet</t>
  </si>
  <si>
    <t xml:space="preserve">Août</t>
  </si>
  <si>
    <t xml:space="preserve">Septembre</t>
  </si>
  <si>
    <t xml:space="preserve">Octobre</t>
  </si>
  <si>
    <t xml:space="preserve">Novembre</t>
  </si>
  <si>
    <t xml:space="preserve">Décembre</t>
  </si>
  <si>
    <t xml:space="preserve">CLASSE 1 — COMPTES DE FINANCEMENT PERMANENT  (sous-total)</t>
  </si>
  <si>
    <t xml:space="preserve">Capital social</t>
  </si>
  <si>
    <t xml:space="preserve">Réserve légale</t>
  </si>
  <si>
    <t xml:space="preserve">Report à nouveau (solde créditeur)</t>
  </si>
  <si>
    <t xml:space="preserve">Résultats nets en instance d'affectation (solde créditeur)</t>
  </si>
  <si>
    <t xml:space="preserve">Résultat net de l'exercice (cumul à fin du mois précédent)</t>
  </si>
  <si>
    <t xml:space="preserve">Subventions d'investissement reçues</t>
  </si>
  <si>
    <t xml:space="preserve">Subventions d'investissement inscrites au CPC</t>
  </si>
  <si>
    <t xml:space="preserve">Emprunts auprès des établissements de crédit</t>
  </si>
  <si>
    <t xml:space="preserve">Dettes de financement diverses</t>
  </si>
  <si>
    <t xml:space="preserve">Provisions pour litiges</t>
  </si>
  <si>
    <t xml:space="preserve">Provisions pour pertes de change</t>
  </si>
  <si>
    <t xml:space="preserve">CLASSE 2 — COMPTES D'ACTIF IMMOBILISÉ  (sous-total)</t>
  </si>
  <si>
    <t xml:space="preserve">Frais d'acquisition des immobilisations</t>
  </si>
  <si>
    <t xml:space="preserve">Brevets, marques, droits et valeurs similaires</t>
  </si>
  <si>
    <t xml:space="preserve">Terrains</t>
  </si>
  <si>
    <t xml:space="preserve">Bâtiments</t>
  </si>
  <si>
    <t xml:space="preserve">Matériel et outillage</t>
  </si>
  <si>
    <t xml:space="preserve">Matériel de transport</t>
  </si>
  <si>
    <t xml:space="preserve">Mobilier de bureau</t>
  </si>
  <si>
    <t xml:space="preserve">Matériel informatique</t>
  </si>
  <si>
    <t xml:space="preserve">Avances et acomptes versés sur commandes d'immobilisations corporelles</t>
  </si>
  <si>
    <t xml:space="preserve">Dépôts et cautionnements versés</t>
  </si>
  <si>
    <t xml:space="preserve">Amortissements des charges à répartir</t>
  </si>
  <si>
    <t xml:space="preserve">Amortissements des brevets, marques, droits et valeurs similaires</t>
  </si>
  <si>
    <t xml:space="preserve">Amortissements des constructions</t>
  </si>
  <si>
    <t xml:space="preserve">Amortissements des installations techniques, matériel et outillage</t>
  </si>
  <si>
    <t xml:space="preserve">Amortissements du matériel de transport</t>
  </si>
  <si>
    <t xml:space="preserve">Amortissements du mobilier, matériel de bureau et aménagements divers</t>
  </si>
  <si>
    <t xml:space="preserve">CLASSE 3 — COMPTES D'ACTIF CIRCULANT (HORS TRÉSORERIE)  (sous-total)</t>
  </si>
  <si>
    <t xml:space="preserve">Marchandises</t>
  </si>
  <si>
    <t xml:space="preserve">Matières premières</t>
  </si>
  <si>
    <t xml:space="preserve">Matières et fournitures consommables</t>
  </si>
  <si>
    <t xml:space="preserve">Biens en cours</t>
  </si>
  <si>
    <t xml:space="preserve">Produits finis</t>
  </si>
  <si>
    <t xml:space="preserve">Fournisseurs - avances et acomptes versés sur commandes d'exploitation</t>
  </si>
  <si>
    <t xml:space="preserve">Clients</t>
  </si>
  <si>
    <t xml:space="preserve">Clients douteux ou litigieux</t>
  </si>
  <si>
    <t xml:space="preserve">Clients - effets à recevoir</t>
  </si>
  <si>
    <t xml:space="preserve">Avances et acomptes au personnel</t>
  </si>
  <si>
    <t xml:space="preserve">Acomptes sur impôts sur les résultats</t>
  </si>
  <si>
    <t xml:space="preserve">État - TVA récupérable</t>
  </si>
  <si>
    <t xml:space="preserve">Divers débiteurs</t>
  </si>
  <si>
    <t xml:space="preserve">Charges constatées d'avance</t>
  </si>
  <si>
    <t xml:space="preserve">Provisions pour dépréciation des clients et comptes rattachés</t>
  </si>
  <si>
    <t xml:space="preserve">CLASSE 4 — COMPTES DE PASSIF CIRCULANT (HORS TRÉSORERIE)  (sous-total)</t>
  </si>
  <si>
    <t xml:space="preserve">Fournisseurs</t>
  </si>
  <si>
    <t xml:space="preserve">Fournisseurs - effets à payer</t>
  </si>
  <si>
    <t xml:space="preserve">Fournisseurs - factures non parvenues</t>
  </si>
  <si>
    <t xml:space="preserve">Rémunérations dues au personnel</t>
  </si>
  <si>
    <t xml:space="preserve">Caisse nationale de sécurité sociale</t>
  </si>
  <si>
    <t xml:space="preserve">Caisses de retraite</t>
  </si>
  <si>
    <t xml:space="preserve">État - impôts, taxes et assimilés</t>
  </si>
  <si>
    <t xml:space="preserve">État - impôts sur les résultats</t>
  </si>
  <si>
    <t xml:space="preserve">État - TVA facturée</t>
  </si>
  <si>
    <t xml:space="preserve">Comptes courants des associés créditeurs</t>
  </si>
  <si>
    <t xml:space="preserve">Dettes sur acquisitions d'immobilisations</t>
  </si>
  <si>
    <t xml:space="preserve">Produits constatés d'avance</t>
  </si>
  <si>
    <t xml:space="preserve">CLASSE 5 — COMPTES DE TRÉSORERIE  (sous-total)</t>
  </si>
  <si>
    <t xml:space="preserve">Chèques et valeurs à encaisser</t>
  </si>
  <si>
    <t xml:space="preserve">Banques (soldes débiteurs)</t>
  </si>
  <si>
    <t xml:space="preserve">Caisses</t>
  </si>
  <si>
    <t xml:space="preserve">Crédits de trésorerie</t>
  </si>
  <si>
    <t xml:space="preserve">CLASSE 6 — COMPTES DE CHARGES  (sous-total)</t>
  </si>
  <si>
    <t xml:space="preserve">Achats de marchandises</t>
  </si>
  <si>
    <t xml:space="preserve">Variation des stocks de marchandises</t>
  </si>
  <si>
    <t xml:space="preserve">Achats de matières premières</t>
  </si>
  <si>
    <t xml:space="preserve">Achats de matières et fournitures consommables</t>
  </si>
  <si>
    <t xml:space="preserve">Achats d'emballages</t>
  </si>
  <si>
    <t xml:space="preserve">Variation des stocks de matières et fournitures</t>
  </si>
  <si>
    <t xml:space="preserve">Achats non stockés de matières et fournitures</t>
  </si>
  <si>
    <t xml:space="preserve">Achats de travaux, études et prestations de services</t>
  </si>
  <si>
    <t xml:space="preserve">Locations et charges locatives</t>
  </si>
  <si>
    <t xml:space="preserve">Redevances de crédit-bail</t>
  </si>
  <si>
    <t xml:space="preserve">Entretien et réparations</t>
  </si>
  <si>
    <t xml:space="preserve">Primes d'assurances</t>
  </si>
  <si>
    <t xml:space="preserve">Rémunérations du personnel extérieur à l'entreprise</t>
  </si>
  <si>
    <t xml:space="preserve">Rémunérations d'intermédiaires et honoraires</t>
  </si>
  <si>
    <t xml:space="preserve">Études, recherches et documentation</t>
  </si>
  <si>
    <t xml:space="preserve">Transports</t>
  </si>
  <si>
    <t xml:space="preserve">Déplacements, missions et réceptions</t>
  </si>
  <si>
    <t xml:space="preserve">Publicité, publications et relations publiques</t>
  </si>
  <si>
    <t xml:space="preserve">Frais postaux et frais de télécommunications</t>
  </si>
  <si>
    <t xml:space="preserve">Services bancaires</t>
  </si>
  <si>
    <t xml:space="preserve">Cotisations et dons</t>
  </si>
  <si>
    <t xml:space="preserve">Impôts et taxes directs</t>
  </si>
  <si>
    <t xml:space="preserve">Impôts, taxes et droits assimilés</t>
  </si>
  <si>
    <t xml:space="preserve">Rémunérations du personnel</t>
  </si>
  <si>
    <t xml:space="preserve">Charges sociales</t>
  </si>
  <si>
    <t xml:space="preserve">Charges sociales diverses</t>
  </si>
  <si>
    <t xml:space="preserve">Pertes sur créances irrécouvrables</t>
  </si>
  <si>
    <t xml:space="preserve">Dotations d'exploitation aux amortissements de l'immobilisation en non-valeurs</t>
  </si>
  <si>
    <t xml:space="preserve">Dotations d'exploitation aux amortissements des immobilisations incorporelles</t>
  </si>
  <si>
    <t xml:space="preserve">Dotations d'exploitation aux amortissements des immobilisations corporelles</t>
  </si>
  <si>
    <t xml:space="preserve">Dotations d'exploitation aux provisions pour dépréciation de l'actif circulant</t>
  </si>
  <si>
    <t xml:space="preserve">Intérêts des emprunts et dettes</t>
  </si>
  <si>
    <t xml:space="preserve">Pertes de change</t>
  </si>
  <si>
    <t xml:space="preserve">Escomptes accordés</t>
  </si>
  <si>
    <t xml:space="preserve">Dotations aux provisions pour dépréciation des immobilisations financières</t>
  </si>
  <si>
    <t xml:space="preserve">Valeurs nettes d'amortissements des immobilisations corporelles cédées</t>
  </si>
  <si>
    <t xml:space="preserve">Pénalités sur marchés et dédits</t>
  </si>
  <si>
    <t xml:space="preserve">Pénalités et amendes fiscales ou pénales</t>
  </si>
  <si>
    <t xml:space="preserve">Créances devenues irrécouvrables</t>
  </si>
  <si>
    <t xml:space="preserve">Impôts sur les bénéfices</t>
  </si>
  <si>
    <t xml:space="preserve">CLASSE 7 — COMPTES DE PRODUITS  (sous-total)</t>
  </si>
  <si>
    <t xml:space="preserve">Ventes de marchandises au Maroc</t>
  </si>
  <si>
    <t xml:space="preserve">Ventes de marchandises à l'étranger</t>
  </si>
  <si>
    <t xml:space="preserve">Ventes de biens produits au Maroc</t>
  </si>
  <si>
    <t xml:space="preserve">Ventes de biens produits à l'étranger</t>
  </si>
  <si>
    <t xml:space="preserve">Ventes de services produits au Maroc</t>
  </si>
  <si>
    <t xml:space="preserve">Ventes de services produits à l'étranger</t>
  </si>
  <si>
    <t xml:space="preserve">Redevances pour brevets, marques, droits et valeurs similaires</t>
  </si>
  <si>
    <t xml:space="preserve">Ventes de produits accessoires</t>
  </si>
  <si>
    <t xml:space="preserve">Variation des stocks de produits (biens en cours, produits finis)</t>
  </si>
  <si>
    <t xml:space="preserve">Immobilisations produites par l'entreprise pour elle-même</t>
  </si>
  <si>
    <t xml:space="preserve">Subventions d'exploitation reçues de l'exercice</t>
  </si>
  <si>
    <t xml:space="preserve">Revenus des immeubles non affectés à l'exploitation</t>
  </si>
  <si>
    <t xml:space="preserve">Reprises sur provisions pour dépréciation de l'actif circulant</t>
  </si>
  <si>
    <t xml:space="preserve">Transferts de charges d'exploitation</t>
  </si>
  <si>
    <t xml:space="preserve">Revenus des titres de participation</t>
  </si>
  <si>
    <t xml:space="preserve">Gains de change</t>
  </si>
  <si>
    <t xml:space="preserve">Intérêts et produits assimilés</t>
  </si>
  <si>
    <t xml:space="preserve">Escomptes obtenus</t>
  </si>
  <si>
    <t xml:space="preserve">Produits des cessions des immobilisations corporelles</t>
  </si>
  <si>
    <t xml:space="preserve">Reprises sur subventions d'investissement</t>
  </si>
  <si>
    <t xml:space="preserve">Pénalités et dédits reçus</t>
  </si>
  <si>
    <t xml:space="preserve">Saisie : chiffres en bleu = données sources (seule zone saisie du fichier). Pour coller une vraie balance : comptes en colonne B (4 chiffres), montants signés en D:P, lignes 7 à 400. Les sous-totaux de classe (sans n° de compte) sont ignorés par les formules.</t>
  </si>
  <si>
    <t xml:space="preserve">COMPTE DE PRODUITS ET CHARGES (CPC) — MODÈLE CGNC DÉTAILLÉ</t>
  </si>
  <si>
    <t xml:space="preserve">Calcul automatique depuis l'onglet Balance, par racine de compte, mois par mois │ Montants en MAD │ Déc. N-1 = référence (hors total)</t>
  </si>
  <si>
    <t xml:space="preserve">Rubriques</t>
  </si>
  <si>
    <t xml:space="preserve">Comptes</t>
  </si>
  <si>
    <t xml:space="preserve">TOTAL 2025</t>
  </si>
  <si>
    <t xml:space="preserve">EXPLOITATION</t>
  </si>
  <si>
    <t xml:space="preserve">I   PRODUITS D'EXPLOITATION</t>
  </si>
  <si>
    <t xml:space="preserve">Ventes de marchandises (en l'état)</t>
  </si>
  <si>
    <t xml:space="preserve">711</t>
  </si>
  <si>
    <t xml:space="preserve">Ventes de biens et services produits</t>
  </si>
  <si>
    <t xml:space="preserve">712</t>
  </si>
  <si>
    <t xml:space="preserve">Chiffre d'affaires</t>
  </si>
  <si>
    <t xml:space="preserve">711+712</t>
  </si>
  <si>
    <t xml:space="preserve">Variation de stocks de produits (±)</t>
  </si>
  <si>
    <t xml:space="preserve">713</t>
  </si>
  <si>
    <t xml:space="preserve">714</t>
  </si>
  <si>
    <t xml:space="preserve">Subventions d'exploitation</t>
  </si>
  <si>
    <t xml:space="preserve">716</t>
  </si>
  <si>
    <t xml:space="preserve">Autres produits d'exploitation</t>
  </si>
  <si>
    <t xml:space="preserve">718</t>
  </si>
  <si>
    <t xml:space="preserve">Reprises d'exploitation ; transferts de charges</t>
  </si>
  <si>
    <t xml:space="preserve">719</t>
  </si>
  <si>
    <t xml:space="preserve">TOTAL I</t>
  </si>
  <si>
    <t xml:space="preserve">II   CHARGES D'EXPLOITATION</t>
  </si>
  <si>
    <t xml:space="preserve">Achats revendus de marchandises</t>
  </si>
  <si>
    <t xml:space="preserve">611</t>
  </si>
  <si>
    <t xml:space="preserve">Achats consommés de matières et fournitures</t>
  </si>
  <si>
    <t xml:space="preserve">612</t>
  </si>
  <si>
    <t xml:space="preserve">Autres charges externes</t>
  </si>
  <si>
    <t xml:space="preserve">613 / 614</t>
  </si>
  <si>
    <t xml:space="preserve">Impôts et taxes</t>
  </si>
  <si>
    <t xml:space="preserve">616</t>
  </si>
  <si>
    <t xml:space="preserve">Charges de personnel</t>
  </si>
  <si>
    <t xml:space="preserve">617</t>
  </si>
  <si>
    <t xml:space="preserve">Autres charges d'exploitation</t>
  </si>
  <si>
    <t xml:space="preserve">618</t>
  </si>
  <si>
    <t xml:space="preserve">Dotations d'exploitation</t>
  </si>
  <si>
    <t xml:space="preserve">619</t>
  </si>
  <si>
    <t xml:space="preserve">TOTAL II</t>
  </si>
  <si>
    <t xml:space="preserve">III   RÉSULTAT D'EXPLOITATION (I − II)</t>
  </si>
  <si>
    <t xml:space="preserve">FINANCIER</t>
  </si>
  <si>
    <t xml:space="preserve">IV   PRODUITS FINANCIERS</t>
  </si>
  <si>
    <t xml:space="preserve">Produits des titres de participation et autres titres immobilisés</t>
  </si>
  <si>
    <t xml:space="preserve">732</t>
  </si>
  <si>
    <t xml:space="preserve">733</t>
  </si>
  <si>
    <t xml:space="preserve">Intérêts et autres produits financiers</t>
  </si>
  <si>
    <t xml:space="preserve">738</t>
  </si>
  <si>
    <t xml:space="preserve">Reprises financières ; transferts de charges</t>
  </si>
  <si>
    <t xml:space="preserve">739</t>
  </si>
  <si>
    <t xml:space="preserve">TOTAL IV</t>
  </si>
  <si>
    <t xml:space="preserve">V   CHARGES FINANCIÈRES</t>
  </si>
  <si>
    <t xml:space="preserve">Charges d'intérêts</t>
  </si>
  <si>
    <t xml:space="preserve">631</t>
  </si>
  <si>
    <t xml:space="preserve">633</t>
  </si>
  <si>
    <t xml:space="preserve">Autres charges financières</t>
  </si>
  <si>
    <t xml:space="preserve">638</t>
  </si>
  <si>
    <t xml:space="preserve">Dotations financières</t>
  </si>
  <si>
    <t xml:space="preserve">639</t>
  </si>
  <si>
    <t xml:space="preserve">TOTAL V</t>
  </si>
  <si>
    <t xml:space="preserve">VI   RÉSULTAT FINANCIER (IV − V)</t>
  </si>
  <si>
    <t xml:space="preserve">VII   RÉSULTAT COURANT (III + VI)</t>
  </si>
  <si>
    <t xml:space="preserve">NON COURANT</t>
  </si>
  <si>
    <t xml:space="preserve">VIII   PRODUITS NON COURANTS</t>
  </si>
  <si>
    <t xml:space="preserve">Produits des cessions d'immobilisations</t>
  </si>
  <si>
    <t xml:space="preserve">751</t>
  </si>
  <si>
    <t xml:space="preserve">Subventions d'équilibre</t>
  </si>
  <si>
    <t xml:space="preserve">756</t>
  </si>
  <si>
    <t xml:space="preserve">757</t>
  </si>
  <si>
    <t xml:space="preserve">Autres produits non courants</t>
  </si>
  <si>
    <t xml:space="preserve">758</t>
  </si>
  <si>
    <t xml:space="preserve">Reprises non courantes ; transferts de charges</t>
  </si>
  <si>
    <t xml:space="preserve">759</t>
  </si>
  <si>
    <t xml:space="preserve">TOTAL VIII</t>
  </si>
  <si>
    <t xml:space="preserve">IX   CHARGES NON COURANTES</t>
  </si>
  <si>
    <t xml:space="preserve">Valeurs nettes d'amortissements des immobilisations cédées</t>
  </si>
  <si>
    <t xml:space="preserve">651</t>
  </si>
  <si>
    <t xml:space="preserve">Subventions accordées</t>
  </si>
  <si>
    <t xml:space="preserve">656</t>
  </si>
  <si>
    <t xml:space="preserve">Autres charges non courantes</t>
  </si>
  <si>
    <t xml:space="preserve">658</t>
  </si>
  <si>
    <t xml:space="preserve">Dotations non courantes aux amortissements et aux provisions</t>
  </si>
  <si>
    <t xml:space="preserve">659</t>
  </si>
  <si>
    <t xml:space="preserve">TOTAL IX</t>
  </si>
  <si>
    <t xml:space="preserve">X   RÉSULTAT NON COURANT (VIII − IX)</t>
  </si>
  <si>
    <t xml:space="preserve">XI   RÉSULTAT AVANT IMPÔTS (VII + X)</t>
  </si>
  <si>
    <t xml:space="preserve">XII   IMPÔTS SUR LES RÉSULTATS</t>
  </si>
  <si>
    <t xml:space="preserve">670</t>
  </si>
  <si>
    <t xml:space="preserve">XIII   RÉSULTAT NET (XI − XII)</t>
  </si>
  <si>
    <t xml:space="preserve">TOTAUX</t>
  </si>
  <si>
    <t xml:space="preserve">XIV   TOTAL DES PRODUITS (I + IV + VIII)</t>
  </si>
  <si>
    <t xml:space="preserve">XV   TOTAL DES CHARGES (II + V + IX + XII)</t>
  </si>
  <si>
    <t xml:space="preserve">XVI   RÉSULTAT NET (XIV − XV)</t>
  </si>
  <si>
    <t xml:space="preserve">CONTRÔLE : Résultat net CPC − Résultat Balance (−Σ classes 6 et 7) = 0</t>
  </si>
  <si>
    <t xml:space="preserve">Signes : produits et charges présentés en valeur positive (signes de la Balance inversés pour les produits). Résultats négatifs précédés de « − ».</t>
  </si>
  <si>
    <t xml:space="preserve">ÉTAT DES SOLDES DE GESTION (ESG) — MODÈLE CGNC</t>
  </si>
  <si>
    <t xml:space="preserve">I. Tableau de formation des résultats (TFR)  │  II. Capacité d'autofinancement (CAF) — Autofinancement  │  Liens : CPC + Balance</t>
  </si>
  <si>
    <t xml:space="preserve">Soldes de gestion</t>
  </si>
  <si>
    <t xml:space="preserve">Réf.</t>
  </si>
  <si>
    <t xml:space="preserve">I. TABLEAU DE FORMATION DES RÉSULTATS (TFR)</t>
  </si>
  <si>
    <t xml:space="preserve">1   Ventes de marchandises (en l'état)</t>
  </si>
  <si>
    <t xml:space="preserve">CPC</t>
  </si>
  <si>
    <t xml:space="preserve">2   − Achats revendus de marchandises</t>
  </si>
  <si>
    <t xml:space="preserve">I   = MARGE BRUTE SUR VENTES EN L'ÉTAT</t>
  </si>
  <si>
    <t xml:space="preserve">3   Ventes de biens et services produits</t>
  </si>
  <si>
    <t xml:space="preserve">4   Variation de stocks de produits</t>
  </si>
  <si>
    <t xml:space="preserve">5   Immobilisations produites par l'entreprise pour elle-même</t>
  </si>
  <si>
    <t xml:space="preserve">II   + PRODUCTION DE L'EXERCICE (3 + 4 + 5)</t>
  </si>
  <si>
    <t xml:space="preserve">6   Achats consommés de matières et fournitures</t>
  </si>
  <si>
    <t xml:space="preserve">7   Autres charges externes</t>
  </si>
  <si>
    <t xml:space="preserve">III   − CONSOMMATION DE L'EXERCICE (6 + 7)</t>
  </si>
  <si>
    <t xml:space="preserve">IV   = VALEUR AJOUTÉE (I + II − III)</t>
  </si>
  <si>
    <t xml:space="preserve">8   + Subventions d'exploitation</t>
  </si>
  <si>
    <t xml:space="preserve">9   − Impôts et taxes</t>
  </si>
  <si>
    <t xml:space="preserve">10   − Charges de personnel</t>
  </si>
  <si>
    <t xml:space="preserve">V   = EXCÉDENT BRUT D'EXPLOITATION (EBE) ou INSUFFISANCE (IBE)</t>
  </si>
  <si>
    <t xml:space="preserve">11   + Autres produits d'exploitation</t>
  </si>
  <si>
    <t xml:space="preserve">12   − Autres charges d'exploitation</t>
  </si>
  <si>
    <t xml:space="preserve">13   + Reprises d'exploitation, transferts de charges</t>
  </si>
  <si>
    <t xml:space="preserve">14   − Dotations d'exploitation</t>
  </si>
  <si>
    <t xml:space="preserve">VI   = RÉSULTAT D'EXPLOITATION (+ ou −)</t>
  </si>
  <si>
    <t xml:space="preserve">VII   ± RÉSULTAT FINANCIER</t>
  </si>
  <si>
    <t xml:space="preserve">VIII   = RÉSULTAT COURANT (+ ou −)</t>
  </si>
  <si>
    <t xml:space="preserve">IX   ± RÉSULTAT NON COURANT</t>
  </si>
  <si>
    <t xml:space="preserve">15   − Impôts sur les résultats</t>
  </si>
  <si>
    <t xml:space="preserve">X   = RÉSULTAT NET DE L'EXERCICE</t>
  </si>
  <si>
    <t xml:space="preserve">II. CAPACITÉ D'AUTOFINANCEMENT (CAF) — AUTOFINANCEMENT</t>
  </si>
  <si>
    <t xml:space="preserve">1   Résultat net de l'exercice</t>
  </si>
  <si>
    <t xml:space="preserve">ESG X</t>
  </si>
  <si>
    <t xml:space="preserve">2   + Dotations d'exploitation (1)</t>
  </si>
  <si>
    <t xml:space="preserve">6191-6195</t>
  </si>
  <si>
    <t xml:space="preserve">3   + Dotations financières (1)</t>
  </si>
  <si>
    <t xml:space="preserve">6392-6393</t>
  </si>
  <si>
    <t xml:space="preserve">4   + Dotations non courantes (1)</t>
  </si>
  <si>
    <t xml:space="preserve">6591-6595</t>
  </si>
  <si>
    <t xml:space="preserve">5   − Reprises d'exploitation (2)</t>
  </si>
  <si>
    <t xml:space="preserve">7191-7195</t>
  </si>
  <si>
    <t xml:space="preserve">6   − Reprises financières (2)</t>
  </si>
  <si>
    <t xml:space="preserve">7392-7393</t>
  </si>
  <si>
    <t xml:space="preserve">7   − Reprises non courantes (2) (3)</t>
  </si>
  <si>
    <t xml:space="preserve">757, 7591-95</t>
  </si>
  <si>
    <t xml:space="preserve">8   − Produits des cessions d'immobilisations</t>
  </si>
  <si>
    <t xml:space="preserve">9   + Valeurs nettes d'amortissements des immobilisations cédées</t>
  </si>
  <si>
    <t xml:space="preserve">I   CAPACITÉ D'AUTOFINANCEMENT (CAF)</t>
  </si>
  <si>
    <t xml:space="preserve">10   − Distributions de bénéfices</t>
  </si>
  <si>
    <t xml:space="preserve">Saisie</t>
  </si>
  <si>
    <t xml:space="preserve">II   AUTOFINANCEMENT</t>
  </si>
  <si>
    <t xml:space="preserve">CONTRÔLES : RN ESG − RN CPC = 0  │  REX ESG − REX CPC = 0</t>
  </si>
  <si>
    <t xml:space="preserve">(1) À l'exclusion des dotations relatives aux actifs et passifs circulants et à la trésorerie.</t>
  </si>
  <si>
    <t xml:space="preserve">(2) À l'exclusion des reprises relatives aux actifs et passifs circulants et à la trésorerie.</t>
  </si>
  <si>
    <t xml:space="preserve">(3) Y compris les reprises sur subventions d'investissement.</t>
  </si>
  <si>
    <t xml:space="preserve">Distributions de bénéfices : 0 MAD en 2025 (résultat 2024 mis en réserve par l'AGO de juin) — seule saisie de l'onglet, en bleu.</t>
  </si>
  <si>
    <t xml:space="preserve">REPORTING DE GESTION — KPI &amp; BENCHMARK SECTORIEL</t>
  </si>
  <si>
    <t xml:space="preserve">Toutes les valeurs sont liées aux onglets CPC, ESG et Balance │ Benchmark indicatif : sous-traitance aéronautique, Maroc</t>
  </si>
  <si>
    <t xml:space="preserve">MOIS SÉLECTIONNÉ  ▸</t>
  </si>
  <si>
    <t xml:space="preserve">Part export (HT)</t>
  </si>
  <si>
    <t xml:space="preserve">Taux de TVA</t>
  </si>
  <si>
    <t xml:space="preserve">Jours / mois</t>
  </si>
  <si>
    <t xml:space="preserve">← Hypothèses de calcul (saisie, en bleu)</t>
  </si>
  <si>
    <t xml:space="preserve">A. ÉLASTICITÉ CA / REX — variations par rapport au mois précédent</t>
  </si>
  <si>
    <t xml:space="preserve">Indicateur</t>
  </si>
  <si>
    <t xml:space="preserve">Unité</t>
  </si>
  <si>
    <t xml:space="preserve">Déc. N-1 (réf.)</t>
  </si>
  <si>
    <t xml:space="preserve">Cumul année</t>
  </si>
  <si>
    <t xml:space="preserve">Chiffre d'affaires (CA)</t>
  </si>
  <si>
    <t xml:space="preserve">MAD</t>
  </si>
  <si>
    <t xml:space="preserve">Variation CA %</t>
  </si>
  <si>
    <t xml:space="preserve">%</t>
  </si>
  <si>
    <t xml:space="preserve">—</t>
  </si>
  <si>
    <t xml:space="preserve">Résultat d'exploitation (REX)</t>
  </si>
  <si>
    <t xml:space="preserve">Variation REX %</t>
  </si>
  <si>
    <t xml:space="preserve">Marge d'exploitation</t>
  </si>
  <si>
    <t xml:space="preserve">Élasticité REX / CA</t>
  </si>
  <si>
    <t xml:space="preserve">x</t>
  </si>
  <si>
    <t xml:space="preserve">Lecture</t>
  </si>
  <si>
    <t xml:space="preserve">① L'élasticité mesure de combien le résultat d'exploitation (REX) bouge quand le chiffre d'affaires bouge de 1 % (ex. 2,0 x : CA +5 % → REX +10 %).</t>
  </si>
  <si>
    <t xml:space="preserve">② CA en hausse — vert « Levier fort » (&gt; 1,2) : le résultat progresse plus vite que les ventes │ bleu « Proportionnel » (0,8 à 1,2) │ orange « Marge érodée » (0 à 0,8) │ rouge (≤ 0) : le REX ne suit pas.</t>
  </si>
  <si>
    <t xml:space="preserve">③ CA en baisse, lecture inversée — rouge « Chute amplifiée » (&gt; 1,2) : le résultat chute plus vite que les ventes │ vert « REX résiste » (&lt; 0). « n.s. » = variation du CA &lt; 2 % ou REX précédent ≤ 0.</t>
  </si>
  <si>
    <t xml:space="preserve">B. TABLEAU DES KPI — MOIS SÉLECTIONNÉ (statut coloré automatiquement selon le benchmark)</t>
  </si>
  <si>
    <t xml:space="preserve">Paramètres de seuil (modifiables)</t>
  </si>
  <si>
    <t xml:space="preserve">Intitulé KPI</t>
  </si>
  <si>
    <t xml:space="preserve">Méthode de calcul</t>
  </si>
  <si>
    <t xml:space="preserve">Résultat</t>
  </si>
  <si>
    <t xml:space="preserve">Seuil vert</t>
  </si>
  <si>
    <t xml:space="preserve">Seuil orange</t>
  </si>
  <si>
    <t xml:space="preserve">Seuil rouge</t>
  </si>
  <si>
    <t xml:space="preserve">Statut</t>
  </si>
  <si>
    <t xml:space="preserve">Commentaire : écart → cause → recommandation chiffrée</t>
  </si>
  <si>
    <t xml:space="preserve">Recommandation</t>
  </si>
  <si>
    <t xml:space="preserve">Seuil 1</t>
  </si>
  <si>
    <t xml:space="preserve">Seuil 2</t>
  </si>
  <si>
    <t xml:space="preserve">Seuil 3</t>
  </si>
  <si>
    <t xml:space="preserve">Règle</t>
  </si>
  <si>
    <t xml:space="preserve">Poids de la masse salariale / CA</t>
  </si>
  <si>
    <t xml:space="preserve">Charges de personnel ÷ Chiffre d'affaires</t>
  </si>
  <si>
    <t xml:space="preserve">Plus bas = mieux</t>
  </si>
  <si>
    <t xml:space="preserve">CAF / CA</t>
  </si>
  <si>
    <t xml:space="preserve">Capacité d'autofinancement (ESG) ÷ CA</t>
  </si>
  <si>
    <t xml:space="preserve">Plus haut = mieux</t>
  </si>
  <si>
    <t xml:space="preserve">Taux de croissance du résultat net</t>
  </si>
  <si>
    <t xml:space="preserve">(RN mois − RN mois précédent) ÷ |RN mois précédent|</t>
  </si>
  <si>
    <t xml:space="preserve">Densité des charges externes</t>
  </si>
  <si>
    <t xml:space="preserve">Autres charges externes (613/614) ÷ CA</t>
  </si>
  <si>
    <t xml:space="preserve">Marge d'exploitation (levier opérationnel)</t>
  </si>
  <si>
    <t xml:space="preserve">Résultat d'exploitation ÷ CA</t>
  </si>
  <si>
    <t xml:space="preserve">Taux d'endettement (gearing)</t>
  </si>
  <si>
    <t xml:space="preserve">Dettes de financement ÷ Capitaux propres</t>
  </si>
  <si>
    <t xml:space="preserve">Poids des charges financières</t>
  </si>
  <si>
    <t xml:space="preserve">Charges financières (CPC V) ÷ CA</t>
  </si>
  <si>
    <t xml:space="preserve">Coût moyen de la dette (annualisé)</t>
  </si>
  <si>
    <t xml:space="preserve">(Intérêts 631 du mois × 12) ÷ Dette moyenne (M-1 ; M)</t>
  </si>
  <si>
    <t xml:space="preserve">BFR en jours de CA</t>
  </si>
  <si>
    <t xml:space="preserve">BFR (31+34+39+44) ÷ CA du mois × 30 j</t>
  </si>
  <si>
    <t xml:space="preserve">DSO — délai clients</t>
  </si>
  <si>
    <t xml:space="preserve">Clients (342) ÷ CA TTC du mois × 30 j</t>
  </si>
  <si>
    <t xml:space="preserve">DPO — délai fournisseurs (loi 69-21)</t>
  </si>
  <si>
    <t xml:space="preserve">Fournisseurs (441) ÷ (Achats + ch. externes) TTC × 30 j</t>
  </si>
  <si>
    <t xml:space="preserve">Zone cible</t>
  </si>
  <si>
    <t xml:space="preserve">DIO — rotation des stocks</t>
  </si>
  <si>
    <t xml:space="preserve">Stocks (31) ÷ Achats consommés du mois × 30 j</t>
  </si>
  <si>
    <t xml:space="preserve">CCC — cycle de conversion du cash</t>
  </si>
  <si>
    <t xml:space="preserve">DSO + DIO − DPO</t>
  </si>
  <si>
    <t xml:space="preserve">REX corrigé du change</t>
  </si>
  <si>
    <t xml:space="preserve">REX + (Gains de change 733 − Pertes de change 633)</t>
  </si>
  <si>
    <t xml:space="preserve">Impact du change / REX</t>
  </si>
  <si>
    <t xml:space="preserve">(Gains de change − Pertes de change) ÷ REX  (seuil en valeur absolue)</t>
  </si>
  <si>
    <t xml:space="preserve">|x| bas = mieux</t>
  </si>
  <si>
    <t xml:space="preserve">Poids du personnel dans la valeur ajoutée</t>
  </si>
  <si>
    <t xml:space="preserve">Charges de personnel ÷ Valeur ajoutée</t>
  </si>
  <si>
    <t xml:space="preserve">Taux de valeur ajoutée locale</t>
  </si>
  <si>
    <t xml:space="preserve">Valeur ajoutée (ESG) ÷ Production de l'exercice</t>
  </si>
  <si>
    <t xml:space="preserve">Benchmark indicatif : sous-traitance aéronautique, Maroc (seuils internes de pilotage, à valider avec l'auditeur — ce ne sont pas des normes officielles). Seuils modifiables en colonnes S à U. DPO : zone cible 60–90 j, plafond légal 120 j (loi 69-21). Montants des commentaires en kMAD.</t>
  </si>
  <si>
    <t xml:space="preserve">C. GRILLE MENSUELLE — AGRÉGATS DE CALCUL ET KPI (source du sélecteur et des graphiques)</t>
  </si>
  <si>
    <t xml:space="preserve">Exercice 2025</t>
  </si>
  <si>
    <t xml:space="preserve">Agrégats de calcul</t>
  </si>
  <si>
    <t xml:space="preserve">CA TTC (export HT + local TTC)</t>
  </si>
  <si>
    <t xml:space="preserve">Production de l'exercice (ESG II)</t>
  </si>
  <si>
    <t xml:space="preserve">Valeur ajoutée (ESG IV)</t>
  </si>
  <si>
    <t xml:space="preserve">Excédent brut d'exploitation (ESG V)</t>
  </si>
  <si>
    <t xml:space="preserve">Résultat d'exploitation (CPC III)</t>
  </si>
  <si>
    <t xml:space="preserve">Résultat net (CPC XIII)</t>
  </si>
  <si>
    <t xml:space="preserve">Capacité d'autofinancement (ESG)</t>
  </si>
  <si>
    <t xml:space="preserve">Charges financières (CPC V)</t>
  </si>
  <si>
    <t xml:space="preserve">Charges d'intérêts (631)</t>
  </si>
  <si>
    <t xml:space="preserve">Gains de change (733)</t>
  </si>
  <si>
    <t xml:space="preserve">Pertes de change (633)</t>
  </si>
  <si>
    <t xml:space="preserve">Achats + charges externes TTC</t>
  </si>
  <si>
    <t xml:space="preserve">Stocks (classe 31)</t>
  </si>
  <si>
    <t xml:space="preserve">Clients et comptes rattachés (342)</t>
  </si>
  <si>
    <t xml:space="preserve">Fournisseurs et comptes rattachés (441)</t>
  </si>
  <si>
    <t xml:space="preserve">BFR (31 + 34 + 39 + 44)</t>
  </si>
  <si>
    <t xml:space="preserve">Dettes de financement (148 + 553 + 554)</t>
  </si>
  <si>
    <t xml:space="preserve">Dette moyenne (M-1 ; M)</t>
  </si>
  <si>
    <t xml:space="preserve">Capitaux propres (11 + 13 + résultat)</t>
  </si>
  <si>
    <t xml:space="preserve">KPI mensuels (mise en forme selon le benchmark)</t>
  </si>
  <si>
    <t xml:space="preserve">jours</t>
  </si>
  <si>
    <t xml:space="preserve">DASHBOARD DIRECTION GÉNÉRALE — PERFORMANCE 2025</t>
  </si>
  <si>
    <t xml:space="preserve">Choisissez le mois dans le sélecteur : cartes et graphiques se mettent à jour (sources : Reporting)</t>
  </si>
  <si>
    <t xml:space="preserve">MOIS  ▸</t>
  </si>
  <si>
    <t xml:space="preserve">Sélecteur propre au Dashboard (indépendant du Reporting) — il lit la grille mensuelle du Reporting.</t>
  </si>
  <si>
    <t xml:space="preserve">CHIFFRE D'AFFAIRES</t>
  </si>
  <si>
    <t xml:space="preserve">DSO — DÉLAI CLIENTS</t>
  </si>
  <si>
    <t xml:space="preserve">DPO — DÉLAI FOURNISSEURS</t>
  </si>
  <si>
    <t xml:space="preserve">CROISSANCE DU RÉSULTAT NET</t>
  </si>
  <si>
    <t xml:space="preserve">DONNÉES SOURCES DES GRAPHIQUES ET DES CARTES (formules liées au Reporting — ne pas saisir)</t>
  </si>
  <si>
    <t xml:space="preserve">Série</t>
  </si>
  <si>
    <t xml:space="preserve">CA mois sélectionné</t>
  </si>
  <si>
    <t xml:space="preserve">Résultat net</t>
  </si>
  <si>
    <t xml:space="preserve">Valeur ajoutée</t>
  </si>
  <si>
    <t xml:space="preserve">REX (positif)</t>
  </si>
  <si>
    <t xml:space="preserve">REX (négatif)</t>
  </si>
  <si>
    <t xml:space="preserve">Cartes</t>
  </si>
  <si>
    <t xml:space="preserve">Mois sélect.</t>
  </si>
  <si>
    <t xml:space="preserve">Mois préc.</t>
  </si>
  <si>
    <t xml:space="preserve">Écart</t>
  </si>
  <si>
    <t xml:space="preserve">CA</t>
  </si>
  <si>
    <t xml:space="preserve">DSO</t>
  </si>
  <si>
    <t xml:space="preserve">DPO</t>
  </si>
  <si>
    <t xml:space="preserve">Croissance RN</t>
  </si>
  <si>
    <t xml:space="preserve">LECTURE — DICTIONNAIRE DES INDICATEURS</t>
  </si>
  <si>
    <t xml:space="preserve">Chaque indicateur expliqué simplement, pour un lecteur non financier</t>
  </si>
  <si>
    <t xml:space="preserve">Nom du KPI</t>
  </si>
  <si>
    <t xml:space="preserve">Explication ultra simple</t>
  </si>
  <si>
    <t xml:space="preserve">Comment lire (bon / mauvais signe)</t>
  </si>
  <si>
    <t xml:space="preserve">Formule</t>
  </si>
  <si>
    <t xml:space="preserve">Tout l'argent facturé aux clients pour les pièces et services vendus dans le mois. C'est la « taille du gâteau ».</t>
  </si>
  <si>
    <t xml:space="preserve">Plus il monte, mieux c'est — à condition que le résultat suive.</t>
  </si>
  <si>
    <t xml:space="preserve">Comptes 711 + 712</t>
  </si>
  <si>
    <t xml:space="preserve">Valeur ajoutée (VA)</t>
  </si>
  <si>
    <t xml:space="preserve">La richesse créée par l'usine : ce que l'on vend moins ce que l'on a acheté à l'extérieur (matières, services). C'est notre vrai travail.</t>
  </si>
  <si>
    <t xml:space="preserve">Plus elle est élevée, plus l'entreprise transforme vraiment la matière.</t>
  </si>
  <si>
    <t xml:space="preserve">Marge brute + Production − Consommations</t>
  </si>
  <si>
    <t xml:space="preserve">EBE</t>
  </si>
  <si>
    <t xml:space="preserve">Ce qu'il reste de la valeur ajoutée après avoir payé les salaires et les taxes. C'est le cash « brut » produit par le métier.</t>
  </si>
  <si>
    <t xml:space="preserve">Positif et en hausse = le métier est rentable avant amortissements.</t>
  </si>
  <si>
    <t xml:space="preserve">VA + Subventions − Impôts et taxes − Personnel</t>
  </si>
  <si>
    <t xml:space="preserve">Le bénéfice du métier une fois l'usure des machines (amortissements) prise en compte. Ni la banque ni le change n'y entrent.</t>
  </si>
  <si>
    <t xml:space="preserve">Négatif = le mois n'a pas couvert ses frais fixes (ex. août).</t>
  </si>
  <si>
    <t xml:space="preserve">Produits − Charges d'exploitation</t>
  </si>
  <si>
    <t xml:space="preserve">Résultat net (RN)</t>
  </si>
  <si>
    <t xml:space="preserve">Ce qui reste vraiment à l'entreprise à la fin, après banque, change, éléments exceptionnels et impôt.</t>
  </si>
  <si>
    <t xml:space="preserve">C'est le bénéfice qui revient aux associés.</t>
  </si>
  <si>
    <t xml:space="preserve">RAI − Impôt sur les résultats</t>
  </si>
  <si>
    <t xml:space="preserve">CAF</t>
  </si>
  <si>
    <t xml:space="preserve">L'argent réellement généré par l'activité, sans tenir compte des écritures « sans cash » (amortissements, provisions).</t>
  </si>
  <si>
    <t xml:space="preserve">C'est la cagnotte qui sert à rembourser la dette et à investir.</t>
  </si>
  <si>
    <t xml:space="preserve">RN + dotations − reprises − cessions + VNA</t>
  </si>
  <si>
    <t xml:space="preserve">BFR</t>
  </si>
  <si>
    <t xml:space="preserve">L'argent bloqué dans le cycle : stocks en attente + clients pas encore payés − fournisseurs pas encore réglés.</t>
  </si>
  <si>
    <t xml:space="preserve">Un BFR trop élevé « mange » la trésorerie.</t>
  </si>
  <si>
    <t xml:space="preserve">Stocks + Créances − Dettes circulantes</t>
  </si>
  <si>
    <t xml:space="preserve">Élasticité CA / REX</t>
  </si>
  <si>
    <t xml:space="preserve">Combien le bénéfice d'exploitation bouge quand les ventes bougent de 1 %. Comme un levier : petit effort, grand effet.</t>
  </si>
  <si>
    <t xml:space="preserve">&gt; 1,2 quand le CA monte = excellent ; &gt; 1,2 quand le CA baisse = alerte.</t>
  </si>
  <si>
    <t xml:space="preserve">Variation REX % ÷ Variation CA %</t>
  </si>
  <si>
    <t xml:space="preserve">Sur 100 MAD vendus, combien partent en salaires et charges sociales.</t>
  </si>
  <si>
    <t xml:space="preserve">Bas = bien (≤ 28 %). Haut = trop de salaires pour le niveau de ventes.</t>
  </si>
  <si>
    <t xml:space="preserve">Charges de personnel ÷ CA</t>
  </si>
  <si>
    <t xml:space="preserve">Sur 100 MAD vendus, combien deviennent du cash disponible.</t>
  </si>
  <si>
    <t xml:space="preserve">Haut = bien (≥ 12 %).</t>
  </si>
  <si>
    <t xml:space="preserve">CAF ÷ CA</t>
  </si>
  <si>
    <t xml:space="preserve">Le bénéfice de ce mois comparé à celui du mois précédent.</t>
  </si>
  <si>
    <t xml:space="preserve">Positif = le bénéfice progresse ; négatif = il recule.</t>
  </si>
  <si>
    <t xml:space="preserve">(RN − RN M-1) ÷ |RN M-1|</t>
  </si>
  <si>
    <t xml:space="preserve">Sur 100 MAD vendus, combien partent en loyers, entretien, transport, intérim, honoraires…</t>
  </si>
  <si>
    <t xml:space="preserve">Bas = bien (≤ 12 %).</t>
  </si>
  <si>
    <t xml:space="preserve">Autres charges externes ÷ CA</t>
  </si>
  <si>
    <t xml:space="preserve">Sur 100 MAD vendus, combien restent en bénéfice d'exploitation.</t>
  </si>
  <si>
    <t xml:space="preserve">Haut = bien (≥ 10 %).</t>
  </si>
  <si>
    <t xml:space="preserve">REX ÷ CA</t>
  </si>
  <si>
    <t xml:space="preserve">Combien l'entreprise doit aux banques pour 1 MAD de fonds propres des associés.</t>
  </si>
  <si>
    <t xml:space="preserve">Bas = solide (≤ 0,8 x). Haut = dépendance aux banques.</t>
  </si>
  <si>
    <t xml:space="preserve">Sur 100 MAD vendus, combien partent en intérêts et pertes de change.</t>
  </si>
  <si>
    <t xml:space="preserve">Bas = bien (≤ 2 %).</t>
  </si>
  <si>
    <t xml:space="preserve">Charges financières ÷ CA</t>
  </si>
  <si>
    <t xml:space="preserve">Coût moyen de la dette</t>
  </si>
  <si>
    <t xml:space="preserve">Le « prix » moyen payé à la banque par an pour l'argent emprunté.</t>
  </si>
  <si>
    <t xml:space="preserve">Bas = bien (≤ 5,5 %).</t>
  </si>
  <si>
    <t xml:space="preserve">Intérêts × 12 ÷ Dette moyenne</t>
  </si>
  <si>
    <t xml:space="preserve">Combien de jours de ventes sont « immobilisés » dans le cycle.</t>
  </si>
  <si>
    <t xml:space="preserve">Bas = bien (≤ 90 j).</t>
  </si>
  <si>
    <t xml:space="preserve">BFR ÷ CA du mois × 30</t>
  </si>
  <si>
    <t xml:space="preserve">En moyenne, combien de jours les clients mettent à nous payer.</t>
  </si>
  <si>
    <t xml:space="preserve">Bas = bien (≤ 60 j). La loi 69-21 encadre ces délais.</t>
  </si>
  <si>
    <t xml:space="preserve">Clients ÷ CA TTC × 30</t>
  </si>
  <si>
    <t xml:space="preserve">DPO — délai fournisseurs</t>
  </si>
  <si>
    <t xml:space="preserve">En moyenne, combien de jours nous mettons à payer nos fournisseurs.</t>
  </si>
  <si>
    <t xml:space="preserve">Idéal entre 60 et 90 j. Au-delà de 120 j : risque de pénalités (loi 69-21).</t>
  </si>
  <si>
    <t xml:space="preserve">Fournisseurs ÷ Achats TTC × 30</t>
  </si>
  <si>
    <t xml:space="preserve">Combien de jours de consommation dorment en stock (matières, pièces en cours, produits finis).</t>
  </si>
  <si>
    <t xml:space="preserve">Stocks ÷ Achats consommés × 30</t>
  </si>
  <si>
    <t xml:space="preserve">Le nombre de jours entre le moment où l'on paie la matière et celui où le client nous paie.</t>
  </si>
  <si>
    <t xml:space="preserve">Bas = bien (≤ 90 j). Chaque jour gagné libère du cash.</t>
  </si>
  <si>
    <t xml:space="preserve">Le bénéfice d'exploitation en ajoutant les gains et pertes de change, pour voir l'effet réel des devises (EUR/USD).</t>
  </si>
  <si>
    <t xml:space="preserve">Positif = l'activité reste rentable même avec le change.</t>
  </si>
  <si>
    <t xml:space="preserve">REX + Gains de change − Pertes de change</t>
  </si>
  <si>
    <t xml:space="preserve">La part du bénéfice d'exploitation gagnée ou perdue à cause des devises.</t>
  </si>
  <si>
    <t xml:space="preserve">Proche de 0 = bien (|x| ≤ 5 %). Élevé = forte exposition au change.</t>
  </si>
  <si>
    <t xml:space="preserve">(Gains − Pertes de change) ÷ REX</t>
  </si>
  <si>
    <t xml:space="preserve">Poids du personnel dans la VA</t>
  </si>
  <si>
    <t xml:space="preserve">Sur 100 MAD de richesse créée, combien reviennent aux salariés.</t>
  </si>
  <si>
    <t xml:space="preserve">≤ 60 % = il reste de quoi investir et rembourser.</t>
  </si>
  <si>
    <t xml:space="preserve">Charges de personnel ÷ VA</t>
  </si>
  <si>
    <t xml:space="preserve">La part de la production réellement créée au Maroc (et non achetée à l'extérieur).</t>
  </si>
  <si>
    <t xml:space="preserve">Haut = bien (≥ 40 %) : intégration locale forte.</t>
  </si>
  <si>
    <t xml:space="preserve">VA ÷ Production de l'exercice</t>
  </si>
  <si>
    <t xml:space="preserve">GLOSSAIRE</t>
  </si>
  <si>
    <t xml:space="preserve">CGNC</t>
  </si>
  <si>
    <t xml:space="preserve">Code Général de Normalisation Comptable : le « code de la route » de la comptabilité au Maroc.</t>
  </si>
  <si>
    <t xml:space="preserve">Compte de Produits et Charges : le film de l'année, ce qui a été gagné et dépensé.</t>
  </si>
  <si>
    <t xml:space="preserve">ESG</t>
  </si>
  <si>
    <t xml:space="preserve">État des Soldes de Gestion : le CPC découpé en étapes (marge, VA, EBE, REX, RN) + la CAF.</t>
  </si>
  <si>
    <t xml:space="preserve">TFR</t>
  </si>
  <si>
    <t xml:space="preserve">Tableau de Formation des Résultats : la première partie de l'ESG.</t>
  </si>
  <si>
    <t xml:space="preserve">Dirham marocain. kMAD = milliers de dirhams ; M = millions.</t>
  </si>
  <si>
    <t xml:space="preserve">n.s.</t>
  </si>
  <si>
    <t xml:space="preserve">Non significatif : calcul volontairement non affiché (variation du CA &lt; 2 % ou REX précédent ≤ 0).</t>
  </si>
  <si>
    <t xml:space="preserve">« — »</t>
  </si>
  <si>
    <t xml:space="preserve">Calcul impossible (division par zéro ou donnée manquante) : la cellule n'affiche pas d'erreur.</t>
  </si>
  <si>
    <t xml:space="preserve">Codes couleur</t>
  </si>
  <si>
    <t xml:space="preserve">Vert = conforme au benchmark │ Bleu = proportionnel / neutre │ Orange = vigilance │ Rouge = alerte.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</si>
</sst>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&quot; MAD&quot;;\-#,##0.00&quot; MAD&quot;;\–"/>
    <numFmt numFmtId="166" formatCode="&quot;n° &quot;0"/>
    <numFmt numFmtId="167" formatCode="0.0%;\-0.0%;0.0%"/>
    <numFmt numFmtId="168" formatCode="0&quot; j&quot;"/>
    <numFmt numFmtId="169" formatCode="0.0&quot; x&quot;;\-0.0&quot; x&quot;;0.0&quot; x&quot;"/>
    <numFmt numFmtId="170" formatCode="0.0%"/>
    <numFmt numFmtId="171" formatCode="0.00&quot; x&quot;;\-0.00&quot; x&quot;;0.00&quot; x&quot;"/>
    <numFmt numFmtId="172" formatCode="0.0"/>
    <numFmt numFmtId="173" formatCode="0&quot; j&quot;;\-0&quot; j&quot;;0&quot; j&quot;"/>
    <numFmt numFmtId="174" formatCode="0"/>
    <numFmt numFmtId="175" formatCode="#,##0"/>
    <numFmt numFmtId="176" formatCode="#,##0&quot; MAD&quot;;\-#,##0&quot; MAD&quot;;\–"/>
    <numFmt numFmtId="177" formatCode="#,##0.0,,&quot; M&quot;"/>
  </numFmts>
  <fonts count="42">
    <font>
      <sz val="1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Calibri"/>
      <family val="0"/>
      <charset val="1"/>
    </font>
    <font>
      <b val="true"/>
      <sz val="10"/>
      <color rgb="FF7B1E3A"/>
      <name val="Calibri"/>
      <family val="0"/>
      <charset val="1"/>
    </font>
    <font>
      <i val="true"/>
      <sz val="9"/>
      <color rgb="FF7A7A7A"/>
      <name val="Calibri"/>
      <family val="0"/>
      <charset val="1"/>
    </font>
    <font>
      <b val="true"/>
      <sz val="11"/>
      <color rgb="FF7B1E3A"/>
      <name val="Calibri"/>
      <family val="0"/>
      <charset val="1"/>
    </font>
    <font>
      <b val="true"/>
      <sz val="12"/>
      <color rgb="FF7B1E3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2B2B2B"/>
      <name val="Calibri"/>
      <family val="0"/>
      <charset val="1"/>
    </font>
    <font>
      <sz val="10"/>
      <color rgb="FF2B2B2B"/>
      <name val="Calibri"/>
      <family val="0"/>
      <charset val="1"/>
    </font>
    <font>
      <b val="true"/>
      <u val="single"/>
      <sz val="10"/>
      <color rgb="FF7B1E3A"/>
      <name val="Calibri"/>
      <family val="0"/>
      <charset val="1"/>
    </font>
    <font>
      <sz val="10"/>
      <color rgb="FF1F3B8C"/>
      <name val="Calibri"/>
      <family val="0"/>
      <charset val="1"/>
    </font>
    <font>
      <b val="true"/>
      <sz val="10"/>
      <color rgb="FFA8841A"/>
      <name val="Calibri"/>
      <family val="0"/>
      <charset val="1"/>
    </font>
    <font>
      <sz val="9"/>
      <color rgb="FF7A7A7A"/>
      <name val="Calibri"/>
      <family val="0"/>
      <charset val="1"/>
    </font>
    <font>
      <sz val="10"/>
      <color rgb="FF7A7A7A"/>
      <name val="Calibri"/>
      <family val="0"/>
      <charset val="1"/>
    </font>
    <font>
      <b val="true"/>
      <i val="true"/>
      <sz val="10"/>
      <color rgb="FF2B2B2B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3"/>
      <color rgb="FF7B1E3A"/>
      <name val="Calibri"/>
      <family val="0"/>
      <charset val="1"/>
    </font>
    <font>
      <sz val="8"/>
      <color rgb="FF7A7A7A"/>
      <name val="Calibri"/>
      <family val="0"/>
      <charset val="1"/>
    </font>
    <font>
      <b val="true"/>
      <sz val="9"/>
      <color rgb="FF7B1E3A"/>
      <name val="Calibri"/>
      <family val="0"/>
      <charset val="1"/>
    </font>
    <font>
      <b val="true"/>
      <sz val="10"/>
      <color rgb="FF1F3B8C"/>
      <name val="Calibri"/>
      <family val="0"/>
      <charset val="1"/>
    </font>
    <font>
      <b val="true"/>
      <sz val="9"/>
      <color rgb="FF2B2B2B"/>
      <name val="Calibri"/>
      <family val="0"/>
      <charset val="1"/>
    </font>
    <font>
      <i val="true"/>
      <sz val="9"/>
      <color rgb="FF2B2B2B"/>
      <name val="Calibri"/>
      <family val="0"/>
      <charset val="1"/>
    </font>
    <font>
      <b val="true"/>
      <sz val="9"/>
      <color rgb="FFA8841A"/>
      <name val="Calibri"/>
      <family val="0"/>
      <charset val="1"/>
    </font>
    <font>
      <b val="true"/>
      <sz val="11"/>
      <color rgb="FF2B2B2B"/>
      <name val="Calibri"/>
      <family val="0"/>
      <charset val="1"/>
    </font>
    <font>
      <b val="true"/>
      <sz val="9"/>
      <color rgb="FF2E7D32"/>
      <name val="Calibri"/>
      <family val="0"/>
      <charset val="1"/>
    </font>
    <font>
      <b val="true"/>
      <sz val="9"/>
      <color rgb="FFEF6C00"/>
      <name val="Calibri"/>
      <family val="0"/>
      <charset val="1"/>
    </font>
    <font>
      <b val="true"/>
      <sz val="9"/>
      <color rgb="FFC62828"/>
      <name val="Calibri"/>
      <family val="0"/>
      <charset val="1"/>
    </font>
    <font>
      <sz val="9"/>
      <color rgb="FF2B2B2B"/>
      <name val="Calibri"/>
      <family val="0"/>
      <charset val="1"/>
    </font>
    <font>
      <sz val="9"/>
      <color rgb="FF7B1E3A"/>
      <name val="Calibri"/>
      <family val="0"/>
      <charset val="1"/>
    </font>
    <font>
      <b val="true"/>
      <sz val="18"/>
      <color rgb="FF7B1E3A"/>
      <name val="Calibri"/>
      <family val="0"/>
      <charset val="1"/>
    </font>
    <font>
      <b val="true"/>
      <sz val="24"/>
      <color rgb="FF7B1E3A"/>
      <name val="Calibri"/>
      <family val="0"/>
      <charset val="1"/>
    </font>
    <font>
      <b val="true"/>
      <sz val="9"/>
      <color rgb="FF1565C0"/>
      <name val="Calibri"/>
      <family val="0"/>
      <charset val="1"/>
    </font>
    <font>
      <b val="true"/>
      <sz val="9"/>
      <color rgb="FF7A7A7A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8"/>
      <color rgb="FF2B2B2B"/>
      <name val="Calibri"/>
      <family val="0"/>
      <charset val="1"/>
    </font>
    <font>
      <b val="true"/>
      <sz val="11"/>
      <color rgb="FF7B1E3A"/>
      <name val="Calibri"/>
      <family val="2"/>
    </font>
    <font>
      <sz val="8"/>
      <color rgb="FF595959"/>
      <name val="Calibri"/>
      <family val="2"/>
    </font>
    <font>
      <i val="true"/>
      <sz val="10"/>
      <color rgb="FF7A7A7A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7A1E3B"/>
        <bgColor rgb="FF7B1E3A"/>
      </patternFill>
    </fill>
    <fill>
      <patternFill patternType="solid">
        <fgColor rgb="FFFAF7F2"/>
        <bgColor rgb="FFFFF3E0"/>
      </patternFill>
    </fill>
    <fill>
      <patternFill patternType="solid">
        <fgColor rgb="FFC5A33A"/>
        <bgColor rgb="FFC9A227"/>
      </patternFill>
    </fill>
    <fill>
      <patternFill patternType="solid">
        <fgColor rgb="FFFAF1D9"/>
        <bgColor rgb="FFFFF3E0"/>
      </patternFill>
    </fill>
    <fill>
      <patternFill patternType="solid">
        <fgColor rgb="FF7B1E3A"/>
        <bgColor rgb="FF7A1E3B"/>
      </patternFill>
    </fill>
    <fill>
      <patternFill patternType="solid">
        <fgColor rgb="FF9B2C4E"/>
        <bgColor rgb="FF7B1E3A"/>
      </patternFill>
    </fill>
    <fill>
      <patternFill patternType="solid">
        <fgColor rgb="FFFFFFFF"/>
        <bgColor rgb="FFFAF7F2"/>
      </patternFill>
    </fill>
    <fill>
      <patternFill patternType="solid">
        <fgColor rgb="FFF5E6EB"/>
        <bgColor rgb="FFFFEBEE"/>
      </patternFill>
    </fill>
    <fill>
      <patternFill patternType="solid">
        <fgColor rgb="FFA8841A"/>
        <bgColor rgb="FFC9A227"/>
      </patternFill>
    </fill>
    <fill>
      <patternFill patternType="solid">
        <fgColor rgb="FFE8F5E9"/>
        <bgColor rgb="FFE3F2FD"/>
      </patternFill>
    </fill>
    <fill>
      <patternFill patternType="solid">
        <fgColor rgb="FFFFF3E0"/>
        <bgColor rgb="FFFAF1D9"/>
      </patternFill>
    </fill>
    <fill>
      <patternFill patternType="solid">
        <fgColor rgb="FFFFEBEE"/>
        <bgColor rgb="FFF5E6EB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rgb="FFC9A227"/>
      </left>
      <right style="medium">
        <color rgb="FFC9A227"/>
      </right>
      <top style="medium">
        <color rgb="FFC9A227"/>
      </top>
      <bottom style="medium">
        <color rgb="FFC9A227"/>
      </bottom>
      <diagonal/>
    </border>
    <border diagonalUp="false" diagonalDown="false">
      <left/>
      <right/>
      <top/>
      <bottom style="medium">
        <color rgb="FFC9A227"/>
      </bottom>
      <diagonal/>
    </border>
    <border diagonalUp="false" diagonalDown="false">
      <left/>
      <right/>
      <top/>
      <bottom style="hair">
        <color rgb="FFD9D2C5"/>
      </bottom>
      <diagonal/>
    </border>
    <border diagonalUp="false" diagonalDown="false">
      <left/>
      <right/>
      <top/>
      <bottom style="thin">
        <color rgb="FFC9A227"/>
      </bottom>
      <diagonal/>
    </border>
    <border diagonalUp="false" diagonalDown="false">
      <left/>
      <right/>
      <top style="thin">
        <color rgb="FFC9A227"/>
      </top>
      <bottom style="thin">
        <color rgb="FFC9A227"/>
      </bottom>
      <diagonal/>
    </border>
    <border diagonalUp="false" diagonalDown="false"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 diagonalUp="false" diagonalDown="false">
      <left style="thin">
        <color rgb="FFC9A227"/>
      </left>
      <right style="thin">
        <color rgb="FFC9A227"/>
      </right>
      <top style="medium">
        <color rgb="FFC9A227"/>
      </top>
      <bottom/>
      <diagonal/>
    </border>
    <border diagonalUp="false" diagonalDown="false">
      <left style="thin">
        <color rgb="FFC9A227"/>
      </left>
      <right style="thin">
        <color rgb="FFC9A227"/>
      </right>
      <top/>
      <bottom/>
      <diagonal/>
    </border>
    <border diagonalUp="false" diagonalDown="false">
      <left style="thin">
        <color rgb="FFC9A227"/>
      </left>
      <right style="thin">
        <color rgb="FFC9A227"/>
      </right>
      <top/>
      <bottom style="medium">
        <color rgb="FFC9A22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0" fillId="3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1" fillId="8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3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general" vertical="bottom" textRotation="0" wrapText="false" indent="2" shrinkToFit="false"/>
      <protection locked="true" hidden="false"/>
    </xf>
    <xf numFmtId="165" fontId="1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23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3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2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3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3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3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3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4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4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8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b val="1"/>
        <color rgb="FF2E7D32"/>
      </font>
      <fill>
        <patternFill>
          <bgColor rgb="FFE8F5E9"/>
        </patternFill>
      </fill>
    </dxf>
    <dxf>
      <font>
        <b val="1"/>
        <color rgb="FFC62828"/>
      </font>
      <fill>
        <patternFill>
          <bgColor rgb="FFFFEBEE"/>
        </patternFill>
      </fill>
    </dxf>
    <dxf>
      <font>
        <b val="1"/>
        <color rgb="FF1565C0"/>
      </font>
      <fill>
        <patternFill>
          <bgColor rgb="FFE3F2FD"/>
        </patternFill>
      </fill>
    </dxf>
    <dxf>
      <font>
        <b val="1"/>
        <color rgb="FFEF6C00"/>
      </font>
      <fill>
        <patternFill>
          <bgColor rgb="FFFFF3E0"/>
        </patternFill>
      </fill>
    </dxf>
    <dxf>
      <font>
        <i val="1"/>
        <color rgb="FF7A7A7A"/>
      </font>
    </dxf>
    <dxf>
      <font>
        <color rgb="FF2E7D32"/>
      </font>
      <fill>
        <patternFill>
          <bgColor rgb="FFE8F5E9"/>
        </patternFill>
      </fill>
    </dxf>
    <dxf>
      <font>
        <color rgb="FFEF6C00"/>
      </font>
      <fill>
        <patternFill>
          <bgColor rgb="FFFFF3E0"/>
        </patternFill>
      </fill>
    </dxf>
    <dxf>
      <font>
        <color rgb="FFC62828"/>
      </font>
      <fill>
        <patternFill>
          <bgColor rgb="FFFFEBEE"/>
        </patternFill>
      </fill>
    </dxf>
    <dxf>
      <font>
        <b val="1"/>
        <color rgb="FF2E7D32"/>
      </font>
    </dxf>
    <dxf>
      <font>
        <b val="1"/>
        <color rgb="FFC62828"/>
      </font>
    </dxf>
  </dxfs>
  <colors>
    <indexedColors>
      <rgbColor rgb="FF000000"/>
      <rgbColor rgb="FFFFFFFF"/>
      <rgbColor rgb="FFFF0000"/>
      <rgbColor rgb="FF00FF00"/>
      <rgbColor rgb="FF0000FF"/>
      <rgbColor rgb="FFFAF7F2"/>
      <rgbColor rgb="FFFF00FF"/>
      <rgbColor rgb="FF00FFFF"/>
      <rgbColor rgb="FF800000"/>
      <rgbColor rgb="FF008000"/>
      <rgbColor rgb="FF000080"/>
      <rgbColor rgb="FFA8841A"/>
      <rgbColor rgb="FF800080"/>
      <rgbColor rgb="FF008080"/>
      <rgbColor rgb="FFBFB6A8"/>
      <rgbColor rgb="FF7A7A7A"/>
      <rgbColor rgb="FF9999FF"/>
      <rgbColor rgb="FF9B2C4E"/>
      <rgbColor rgb="FFFFF3E0"/>
      <rgbColor rgb="FFE3F2FD"/>
      <rgbColor rgb="FF7A1E3B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6E0D6"/>
      <rgbColor rgb="FFFAF1D9"/>
      <rgbColor rgb="FFF5E6EB"/>
      <rgbColor rgb="FFD9A3B3"/>
      <rgbColor rgb="FFFFEBEE"/>
      <rgbColor rgb="FFD9D2C5"/>
      <rgbColor rgb="FF3366FF"/>
      <rgbColor rgb="FF33CCCC"/>
      <rgbColor rgb="FF99CC00"/>
      <rgbColor rgb="FFFFCC00"/>
      <rgbColor rgb="FFC9A227"/>
      <rgbColor rgb="FFEF6C00"/>
      <rgbColor rgb="FF595959"/>
      <rgbColor rgb="FFC5A33A"/>
      <rgbColor rgb="FF003366"/>
      <rgbColor rgb="FF2E7D32"/>
      <rgbColor rgb="FF003300"/>
      <rgbColor rgb="FF333300"/>
      <rgbColor rgb="FFC62828"/>
      <rgbColor rgb="FF7B1E3A"/>
      <rgbColor rgb="FF1F3B8C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7b1e3a"/>
                </a:solidFill>
                <a:latin typeface="Calibri"/>
              </a:defRPr>
            </a:pPr>
            <a:r>
              <a:rPr b="1" sz="1100" spc="-1" strike="noStrike">
                <a:solidFill>
                  <a:srgbClr val="7b1e3a"/>
                </a:solidFill>
                <a:latin typeface="Calibri"/>
              </a:rPr>
              <a:t>Chiffre d'affaires (MAD) — mois sélectionné en doré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DASHBOARD!B53</c:f>
              <c:strCache>
                <c:ptCount val="1"/>
                <c:pt idx="0">
                  <c:v>Chiffre d'affaires</c:v>
                </c:pt>
              </c:strCache>
            </c:strRef>
          </c:tx>
          <c:spPr>
            <a:solidFill>
              <a:srgbClr val="7b1e3a"/>
            </a:solidFill>
            <a:ln w="0">
              <a:solidFill>
                <a:srgbClr val="7b1e3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DASHBOARD!$C$52:$N$52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DASHBOARD!$C$53:$N$53</c:f>
              <c:numCache>
                <c:formatCode>#,##0" MAD";\-#,##0" MAD";\–</c:formatCode>
                <c:ptCount val="12"/>
                <c:pt idx="0">
                  <c:v>10800000</c:v>
                </c:pt>
                <c:pt idx="1">
                  <c:v>11200000</c:v>
                </c:pt>
                <c:pt idx="2">
                  <c:v>12400000</c:v>
                </c:pt>
                <c:pt idx="3">
                  <c:v>11900000</c:v>
                </c:pt>
                <c:pt idx="4">
                  <c:v>12600000</c:v>
                </c:pt>
                <c:pt idx="5">
                  <c:v>12800000</c:v>
                </c:pt>
                <c:pt idx="6">
                  <c:v>11600000</c:v>
                </c:pt>
                <c:pt idx="7">
                  <c:v>7400000</c:v>
                </c:pt>
                <c:pt idx="8">
                  <c:v>12100000</c:v>
                </c:pt>
                <c:pt idx="9">
                  <c:v>12800000</c:v>
                </c:pt>
                <c:pt idx="10">
                  <c:v>12300000</c:v>
                </c:pt>
                <c:pt idx="11">
                  <c:v>14100000</c:v>
                </c:pt>
              </c:numCache>
            </c:numRef>
          </c:val>
        </c:ser>
        <c:ser>
          <c:idx val="1"/>
          <c:order val="1"/>
          <c:tx>
            <c:strRef>
              <c:f>DASHBOARD!B54</c:f>
              <c:strCache>
                <c:ptCount val="1"/>
                <c:pt idx="0">
                  <c:v>CA mois sélectionné</c:v>
                </c:pt>
              </c:strCache>
            </c:strRef>
          </c:tx>
          <c:spPr>
            <a:solidFill>
              <a:srgbClr val="c9a227"/>
            </a:solidFill>
            <a:ln w="0">
              <a:solidFill>
                <a:srgbClr val="c9a22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DASHBOARD!$C$52:$N$52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DASHBOARD!$C$54:$N$54</c:f>
              <c:numCache>
                <c:formatCode>#,##0" MAD";\-#,##0" MAD";\–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14100000</c:v>
                </c:pt>
              </c:numCache>
            </c:numRef>
          </c:val>
        </c:ser>
        <c:gapWidth val="60"/>
        <c:overlap val="100"/>
        <c:axId val="99052096"/>
        <c:axId val="4086006"/>
      </c:barChart>
      <c:catAx>
        <c:axId val="9905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6a8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086006"/>
        <c:crosses val="autoZero"/>
        <c:auto val="1"/>
        <c:lblAlgn val="ctr"/>
        <c:lblOffset val="100"/>
        <c:noMultiLvlLbl val="0"/>
      </c:catAx>
      <c:valAx>
        <c:axId val="4086006"/>
        <c:scaling>
          <c:orientation val="minMax"/>
        </c:scaling>
        <c:delete val="0"/>
        <c:axPos val="l"/>
        <c:majorGridlines>
          <c:spPr>
            <a:ln w="9360">
              <a:solidFill>
                <a:srgbClr val="e6e0d6"/>
              </a:solidFill>
              <a:round/>
            </a:ln>
          </c:spPr>
        </c:majorGridlines>
        <c:numFmt formatCode="#,##0.0,,&quot; M&quot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90520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7b1e3a"/>
                </a:solidFill>
                <a:latin typeface="Calibri"/>
              </a:defRPr>
            </a:pPr>
            <a:r>
              <a:rPr b="1" sz="1100" spc="-1" strike="noStrike">
                <a:solidFill>
                  <a:srgbClr val="7b1e3a"/>
                </a:solidFill>
                <a:latin typeface="Calibri"/>
              </a:rPr>
              <a:t>Résultat net (MAD)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DASHBOARD!B55</c:f>
              <c:strCache>
                <c:ptCount val="1"/>
                <c:pt idx="0">
                  <c:v>Résultat net</c:v>
                </c:pt>
              </c:strCache>
            </c:strRef>
          </c:tx>
          <c:spPr>
            <a:solidFill>
              <a:srgbClr val="c9a227"/>
            </a:solidFill>
            <a:ln w="32040">
              <a:solidFill>
                <a:srgbClr val="c9a227"/>
              </a:solidFill>
              <a:round/>
            </a:ln>
          </c:spPr>
          <c:marker>
            <c:symbol val="circle"/>
            <c:size val="7"/>
            <c:spPr>
              <a:solidFill>
                <a:srgbClr val="c9a22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DASHBOARD!$C$52:$N$52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DASHBOARD!$C$55:$N$55</c:f>
              <c:numCache>
                <c:formatCode>#,##0" MAD";\-#,##0" MAD";\–</c:formatCode>
                <c:ptCount val="12"/>
                <c:pt idx="0">
                  <c:v>735670.370000001</c:v>
                </c:pt>
                <c:pt idx="1">
                  <c:v>1066687.78</c:v>
                </c:pt>
                <c:pt idx="2">
                  <c:v>1066132.8</c:v>
                </c:pt>
                <c:pt idx="3">
                  <c:v>855598.549999998</c:v>
                </c:pt>
                <c:pt idx="4">
                  <c:v>1430961.95</c:v>
                </c:pt>
                <c:pt idx="5">
                  <c:v>1681883.19</c:v>
                </c:pt>
                <c:pt idx="6">
                  <c:v>1184822.39</c:v>
                </c:pt>
                <c:pt idx="7">
                  <c:v>-397484.53</c:v>
                </c:pt>
                <c:pt idx="8">
                  <c:v>357799.440000001</c:v>
                </c:pt>
                <c:pt idx="9">
                  <c:v>1158549.93</c:v>
                </c:pt>
                <c:pt idx="10">
                  <c:v>882966.75</c:v>
                </c:pt>
                <c:pt idx="11">
                  <c:v>936411.550000001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5398348"/>
        <c:axId val="82953760"/>
      </c:lineChart>
      <c:catAx>
        <c:axId val="353983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bfb6a8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2953760"/>
        <c:crosses val="autoZero"/>
        <c:auto val="1"/>
        <c:lblAlgn val="ctr"/>
        <c:lblOffset val="100"/>
        <c:noMultiLvlLbl val="0"/>
      </c:catAx>
      <c:valAx>
        <c:axId val="82953760"/>
        <c:scaling>
          <c:orientation val="minMax"/>
        </c:scaling>
        <c:delete val="0"/>
        <c:axPos val="l"/>
        <c:majorGridlines>
          <c:spPr>
            <a:ln w="9360">
              <a:solidFill>
                <a:srgbClr val="e6e0d6"/>
              </a:solidFill>
              <a:round/>
            </a:ln>
          </c:spPr>
        </c:majorGridlines>
        <c:numFmt formatCode="#,##0.0,,&quot; M&quot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53983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7b1e3a"/>
                </a:solidFill>
                <a:latin typeface="Calibri"/>
              </a:defRPr>
            </a:pPr>
            <a:r>
              <a:rPr b="1" sz="1100" spc="-1" strike="noStrike">
                <a:solidFill>
                  <a:srgbClr val="7b1e3a"/>
                </a:solidFill>
                <a:latin typeface="Calibri"/>
              </a:rPr>
              <a:t>Valeur ajoutée (MAD)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tx>
            <c:strRef>
              <c:f>DASHBOARD!B56</c:f>
              <c:strCache>
                <c:ptCount val="1"/>
                <c:pt idx="0">
                  <c:v>Valeur ajoutée</c:v>
                </c:pt>
              </c:strCache>
            </c:strRef>
          </c:tx>
          <c:spPr>
            <a:solidFill>
              <a:srgbClr val="d9a3b3"/>
            </a:solidFill>
            <a:ln w="21960">
              <a:solidFill>
                <a:srgbClr val="7b1e3a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DASHBOARD!$C$52:$N$52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DASHBOARD!$C$56:$N$56</c:f>
              <c:numCache>
                <c:formatCode>#,##0" MAD";\-#,##0" MAD";\–</c:formatCode>
                <c:ptCount val="12"/>
                <c:pt idx="0">
                  <c:v>5169667.2</c:v>
                </c:pt>
                <c:pt idx="1">
                  <c:v>5633560.53</c:v>
                </c:pt>
                <c:pt idx="2">
                  <c:v>6259937.29</c:v>
                </c:pt>
                <c:pt idx="3">
                  <c:v>5361457.21</c:v>
                </c:pt>
                <c:pt idx="4">
                  <c:v>6112188.81</c:v>
                </c:pt>
                <c:pt idx="5">
                  <c:v>6204176.93</c:v>
                </c:pt>
                <c:pt idx="6">
                  <c:v>5812165.79</c:v>
                </c:pt>
                <c:pt idx="7">
                  <c:v>3707489.67</c:v>
                </c:pt>
                <c:pt idx="8">
                  <c:v>4844218.05</c:v>
                </c:pt>
                <c:pt idx="9">
                  <c:v>5783954.58</c:v>
                </c:pt>
                <c:pt idx="10">
                  <c:v>5738832.06</c:v>
                </c:pt>
                <c:pt idx="11">
                  <c:v>6152351.97</c:v>
                </c:pt>
              </c:numCache>
            </c:numRef>
          </c:val>
        </c:ser>
        <c:axId val="7358481"/>
        <c:axId val="97671172"/>
      </c:areaChart>
      <c:catAx>
        <c:axId val="73584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6a8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7671172"/>
        <c:crosses val="autoZero"/>
        <c:auto val="1"/>
        <c:lblAlgn val="ctr"/>
        <c:lblOffset val="100"/>
        <c:noMultiLvlLbl val="0"/>
      </c:catAx>
      <c:valAx>
        <c:axId val="97671172"/>
        <c:scaling>
          <c:orientation val="minMax"/>
        </c:scaling>
        <c:delete val="0"/>
        <c:axPos val="l"/>
        <c:majorGridlines>
          <c:spPr>
            <a:ln w="9360">
              <a:solidFill>
                <a:srgbClr val="e6e0d6"/>
              </a:solidFill>
              <a:round/>
            </a:ln>
          </c:spPr>
        </c:majorGridlines>
        <c:numFmt formatCode="#,##0.0,,&quot; M&quot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35848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7b1e3a"/>
                </a:solidFill>
                <a:latin typeface="Calibri"/>
              </a:defRPr>
            </a:pPr>
            <a:r>
              <a:rPr b="1" sz="1100" spc="-1" strike="noStrike">
                <a:solidFill>
                  <a:srgbClr val="7b1e3a"/>
                </a:solidFill>
                <a:latin typeface="Calibri"/>
              </a:rPr>
              <a:t>Résultat d'exploitation (MAD) — négatif en rouge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DASHBOARD!B57</c:f>
              <c:strCache>
                <c:ptCount val="1"/>
                <c:pt idx="0">
                  <c:v>REX (positif)</c:v>
                </c:pt>
              </c:strCache>
            </c:strRef>
          </c:tx>
          <c:spPr>
            <a:solidFill>
              <a:srgbClr val="7b1e3a"/>
            </a:solidFill>
            <a:ln w="0">
              <a:solidFill>
                <a:srgbClr val="7b1e3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DASHBOARD!$C$52:$N$52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DASHBOARD!$C$57:$N$57</c:f>
              <c:numCache>
                <c:formatCode>#,##0" MAD";\-#,##0" MAD";\–</c:formatCode>
                <c:ptCount val="12"/>
                <c:pt idx="0">
                  <c:v>1111452.89</c:v>
                </c:pt>
                <c:pt idx="1">
                  <c:v>1572441.61</c:v>
                </c:pt>
                <c:pt idx="2">
                  <c:v>2298955.08</c:v>
                </c:pt>
                <c:pt idx="3">
                  <c:v>1272562.42</c:v>
                </c:pt>
                <c:pt idx="4">
                  <c:v>1989100.61</c:v>
                </c:pt>
                <c:pt idx="5">
                  <c:v>2269994.2</c:v>
                </c:pt>
                <c:pt idx="6">
                  <c:v>1718104.07</c:v>
                </c:pt>
                <c:pt idx="7">
                  <c:v>0</c:v>
                </c:pt>
                <c:pt idx="8">
                  <c:v>866783.030000001</c:v>
                </c:pt>
                <c:pt idx="9">
                  <c:v>1667251.9</c:v>
                </c:pt>
                <c:pt idx="10">
                  <c:v>1547031.02</c:v>
                </c:pt>
                <c:pt idx="11">
                  <c:v>1330951.19</c:v>
                </c:pt>
              </c:numCache>
            </c:numRef>
          </c:val>
        </c:ser>
        <c:ser>
          <c:idx val="1"/>
          <c:order val="1"/>
          <c:tx>
            <c:strRef>
              <c:f>DASHBOARD!B58</c:f>
              <c:strCache>
                <c:ptCount val="1"/>
                <c:pt idx="0">
                  <c:v>REX (négatif)</c:v>
                </c:pt>
              </c:strCache>
            </c:strRef>
          </c:tx>
          <c:spPr>
            <a:solidFill>
              <a:srgbClr val="c62828"/>
            </a:solidFill>
            <a:ln w="0">
              <a:solidFill>
                <a:srgbClr val="c6282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DASHBOARD!$C$52:$N$52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DASHBOARD!$C$58:$N$58</c:f>
              <c:numCache>
                <c:formatCode>#,##0" MAD";\-#,##0" MAD";\–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-164627.83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overlap val="100"/>
        <c:axId val="19702675"/>
        <c:axId val="52190195"/>
      </c:barChart>
      <c:catAx>
        <c:axId val="197026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bfb6a8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2190195"/>
        <c:crosses val="autoZero"/>
        <c:auto val="1"/>
        <c:lblAlgn val="ctr"/>
        <c:lblOffset val="100"/>
        <c:noMultiLvlLbl val="0"/>
      </c:catAx>
      <c:valAx>
        <c:axId val="52190195"/>
        <c:scaling>
          <c:orientation val="minMax"/>
        </c:scaling>
        <c:delete val="0"/>
        <c:axPos val="l"/>
        <c:majorGridlines>
          <c:spPr>
            <a:ln w="9360">
              <a:solidFill>
                <a:srgbClr val="e6e0d6"/>
              </a:solidFill>
              <a:round/>
            </a:ln>
          </c:spPr>
        </c:majorGridlines>
        <c:numFmt formatCode="#,##0.0,,&quot; M&quot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97026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8</xdr:col>
      <xdr:colOff>84600</xdr:colOff>
      <xdr:row>27</xdr:row>
      <xdr:rowOff>140400</xdr:rowOff>
    </xdr:to>
    <xdr:graphicFrame>
      <xdr:nvGraphicFramePr>
        <xdr:cNvPr id="0" name="Chart 1"/>
        <xdr:cNvGraphicFramePr/>
      </xdr:nvGraphicFramePr>
      <xdr:xfrm>
        <a:off x="128160" y="3247920"/>
        <a:ext cx="431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13</xdr:row>
      <xdr:rowOff>0</xdr:rowOff>
    </xdr:from>
    <xdr:to>
      <xdr:col>16</xdr:col>
      <xdr:colOff>84600</xdr:colOff>
      <xdr:row>27</xdr:row>
      <xdr:rowOff>140400</xdr:rowOff>
    </xdr:to>
    <xdr:graphicFrame>
      <xdr:nvGraphicFramePr>
        <xdr:cNvPr id="1" name="Chart 2"/>
        <xdr:cNvGraphicFramePr/>
      </xdr:nvGraphicFramePr>
      <xdr:xfrm>
        <a:off x="4555440" y="3247920"/>
        <a:ext cx="431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8</xdr:col>
      <xdr:colOff>84600</xdr:colOff>
      <xdr:row>44</xdr:row>
      <xdr:rowOff>140760</xdr:rowOff>
    </xdr:to>
    <xdr:graphicFrame>
      <xdr:nvGraphicFramePr>
        <xdr:cNvPr id="2" name="Chart 3"/>
        <xdr:cNvGraphicFramePr/>
      </xdr:nvGraphicFramePr>
      <xdr:xfrm>
        <a:off x="128160" y="6486480"/>
        <a:ext cx="431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30</xdr:row>
      <xdr:rowOff>0</xdr:rowOff>
    </xdr:from>
    <xdr:to>
      <xdr:col>16</xdr:col>
      <xdr:colOff>84600</xdr:colOff>
      <xdr:row>44</xdr:row>
      <xdr:rowOff>140760</xdr:rowOff>
    </xdr:to>
    <xdr:graphicFrame>
      <xdr:nvGraphicFramePr>
        <xdr:cNvPr id="3" name="Chart 4"/>
        <xdr:cNvGraphicFramePr/>
      </xdr:nvGraphicFramePr>
      <xdr:xfrm>
        <a:off x="4555440" y="6486480"/>
        <a:ext cx="431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1:D4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746093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70"/>
    <col collapsed="false" customWidth="true" hidden="false" outlineLevel="0" max="4" min="4" style="0" width="18"/>
  </cols>
  <sheetData>
    <row r="1" customFormat="false" ht="33.75" hidden="false" customHeight="true" outlineLevel="0" collapsed="false">
      <c r="B1" s="1" t="s">
        <v>0</v>
      </c>
      <c r="C1" s="1"/>
      <c r="D1" s="1"/>
    </row>
    <row r="2" customFormat="false" ht="19.5" hidden="false" customHeight="true" outlineLevel="0" collapsed="false">
      <c r="B2" s="2" t="str">
        <f aca="false">"Société : "&amp;Accueil!$C$8&amp;"     │     Exercice : "&amp;Accueil!$C$11&amp;"     │     Date d'arrêté : "&amp;Accueil!$C$12&amp;"     │     Responsable : "&amp;Accueil!$C$15</f>
        <v>Société : AéroAtlas Composites SARL     │     Exercice : 2025     │     Date d'arrêté : 31/12/2025     │     Responsable : Karim El Fassi (DAF)</v>
      </c>
      <c r="C2" s="2"/>
      <c r="D2" s="2"/>
    </row>
    <row r="3" customFormat="false" ht="3.75" hidden="false" customHeight="true" outlineLevel="0" collapsed="false">
      <c r="B3" s="3"/>
      <c r="C3" s="3"/>
      <c r="D3" s="3"/>
    </row>
    <row r="4" customFormat="false" ht="18" hidden="false" customHeight="true" outlineLevel="0" collapsed="false">
      <c r="C4" s="4" t="s">
        <v>1</v>
      </c>
    </row>
    <row r="5" customFormat="false" ht="25.5" hidden="false" customHeight="true" outlineLevel="0" collapsed="false">
      <c r="B5" s="5" t="s">
        <v>2</v>
      </c>
      <c r="C5" s="5"/>
      <c r="D5" s="5"/>
    </row>
    <row r="7" customFormat="false" ht="24" hidden="false" customHeight="true" outlineLevel="0" collapsed="false">
      <c r="B7" s="6" t="s">
        <v>3</v>
      </c>
      <c r="C7" s="6"/>
      <c r="D7" s="6"/>
    </row>
    <row r="8" customFormat="false" ht="19.5" hidden="false" customHeight="true" outlineLevel="0" collapsed="false">
      <c r="B8" s="7" t="s">
        <v>4</v>
      </c>
      <c r="C8" s="8" t="s">
        <v>5</v>
      </c>
      <c r="D8" s="8"/>
    </row>
    <row r="9" customFormat="false" ht="19.5" hidden="false" customHeight="true" outlineLevel="0" collapsed="false">
      <c r="B9" s="9" t="s">
        <v>6</v>
      </c>
      <c r="C9" s="10" t="s">
        <v>7</v>
      </c>
      <c r="D9" s="10"/>
    </row>
    <row r="10" customFormat="false" ht="19.5" hidden="false" customHeight="true" outlineLevel="0" collapsed="false">
      <c r="B10" s="7" t="s">
        <v>8</v>
      </c>
      <c r="C10" s="11" t="s">
        <v>9</v>
      </c>
      <c r="D10" s="11"/>
    </row>
    <row r="11" customFormat="false" ht="19.5" hidden="false" customHeight="true" outlineLevel="0" collapsed="false">
      <c r="B11" s="9" t="s">
        <v>10</v>
      </c>
      <c r="C11" s="10" t="s">
        <v>11</v>
      </c>
      <c r="D11" s="10"/>
    </row>
    <row r="12" customFormat="false" ht="19.5" hidden="false" customHeight="true" outlineLevel="0" collapsed="false">
      <c r="B12" s="7" t="s">
        <v>12</v>
      </c>
      <c r="C12" s="11" t="s">
        <v>13</v>
      </c>
      <c r="D12" s="11"/>
    </row>
    <row r="13" customFormat="false" ht="19.5" hidden="false" customHeight="true" outlineLevel="0" collapsed="false">
      <c r="B13" s="9" t="s">
        <v>14</v>
      </c>
      <c r="C13" s="10" t="s">
        <v>15</v>
      </c>
      <c r="D13" s="10"/>
    </row>
    <row r="14" customFormat="false" ht="19.5" hidden="false" customHeight="true" outlineLevel="0" collapsed="false">
      <c r="B14" s="7" t="s">
        <v>16</v>
      </c>
      <c r="C14" s="11" t="s">
        <v>17</v>
      </c>
      <c r="D14" s="11"/>
    </row>
    <row r="15" customFormat="false" ht="19.5" hidden="false" customHeight="true" outlineLevel="0" collapsed="false">
      <c r="B15" s="9" t="s">
        <v>18</v>
      </c>
      <c r="C15" s="10" t="s">
        <v>19</v>
      </c>
      <c r="D15" s="10"/>
    </row>
    <row r="16" customFormat="false" ht="19.5" hidden="false" customHeight="true" outlineLevel="0" collapsed="false">
      <c r="B16" s="7" t="s">
        <v>20</v>
      </c>
      <c r="C16" s="11" t="s">
        <v>21</v>
      </c>
      <c r="D16" s="11"/>
    </row>
    <row r="17" customFormat="false" ht="19.5" hidden="false" customHeight="true" outlineLevel="0" collapsed="false">
      <c r="B17" s="9" t="s">
        <v>22</v>
      </c>
      <c r="C17" s="10" t="s">
        <v>23</v>
      </c>
      <c r="D17" s="10"/>
    </row>
    <row r="18" customFormat="false" ht="19.5" hidden="false" customHeight="true" outlineLevel="0" collapsed="false">
      <c r="B18" s="7" t="s">
        <v>24</v>
      </c>
      <c r="C18" s="11" t="s">
        <v>25</v>
      </c>
      <c r="D18" s="11"/>
    </row>
    <row r="20" customFormat="false" ht="24" hidden="false" customHeight="true" outlineLevel="0" collapsed="false">
      <c r="B20" s="6" t="s">
        <v>26</v>
      </c>
      <c r="C20" s="6"/>
      <c r="D20" s="6"/>
    </row>
    <row r="21" customFormat="false" ht="21.75" hidden="false" customHeight="true" outlineLevel="0" collapsed="false">
      <c r="B21" s="12" t="s">
        <v>27</v>
      </c>
      <c r="C21" s="12" t="s">
        <v>28</v>
      </c>
      <c r="D21" s="12" t="s">
        <v>29</v>
      </c>
    </row>
    <row r="22" customFormat="false" ht="31.5" hidden="false" customHeight="true" outlineLevel="0" collapsed="false">
      <c r="B22" s="13" t="s">
        <v>30</v>
      </c>
      <c r="C22" s="14" t="s">
        <v>31</v>
      </c>
      <c r="D22" s="15" t="s">
        <v>32</v>
      </c>
    </row>
    <row r="23" customFormat="false" ht="31.5" hidden="false" customHeight="true" outlineLevel="0" collapsed="false">
      <c r="B23" s="13" t="s">
        <v>33</v>
      </c>
      <c r="C23" s="14" t="s">
        <v>34</v>
      </c>
      <c r="D23" s="15" t="s">
        <v>32</v>
      </c>
    </row>
    <row r="24" customFormat="false" ht="31.5" hidden="false" customHeight="true" outlineLevel="0" collapsed="false">
      <c r="B24" s="13" t="s">
        <v>35</v>
      </c>
      <c r="C24" s="14" t="s">
        <v>36</v>
      </c>
      <c r="D24" s="15" t="s">
        <v>32</v>
      </c>
    </row>
    <row r="25" customFormat="false" ht="31.5" hidden="false" customHeight="true" outlineLevel="0" collapsed="false">
      <c r="B25" s="13" t="s">
        <v>37</v>
      </c>
      <c r="C25" s="14" t="s">
        <v>38</v>
      </c>
      <c r="D25" s="15" t="s">
        <v>32</v>
      </c>
    </row>
    <row r="26" customFormat="false" ht="31.5" hidden="false" customHeight="true" outlineLevel="0" collapsed="false">
      <c r="B26" s="13" t="s">
        <v>39</v>
      </c>
      <c r="C26" s="14" t="s">
        <v>40</v>
      </c>
      <c r="D26" s="15" t="s">
        <v>32</v>
      </c>
    </row>
    <row r="27" customFormat="false" ht="31.5" hidden="false" customHeight="true" outlineLevel="0" collapsed="false">
      <c r="B27" s="13" t="s">
        <v>41</v>
      </c>
      <c r="C27" s="14" t="s">
        <v>42</v>
      </c>
      <c r="D27" s="15" t="s">
        <v>32</v>
      </c>
    </row>
    <row r="29" customFormat="false" ht="24" hidden="false" customHeight="true" outlineLevel="0" collapsed="false">
      <c r="B29" s="6" t="s">
        <v>43</v>
      </c>
      <c r="C29" s="6"/>
      <c r="D29" s="6"/>
    </row>
    <row r="30" customFormat="false" ht="15" hidden="false" customHeight="false" outlineLevel="0" collapsed="false">
      <c r="B30" s="16" t="s">
        <v>44</v>
      </c>
      <c r="C30" s="13" t="str">
        <f aca="false">IF(SUMPRODUCT(ABS(Balance!D5:P5))&lt;0.01,"✔ Conforme","✖ À vérifier")</f>
        <v>✔ Conforme</v>
      </c>
      <c r="D30" s="17"/>
    </row>
    <row r="31" customFormat="false" ht="23.85" hidden="false" customHeight="false" outlineLevel="0" collapsed="false">
      <c r="B31" s="16" t="s">
        <v>45</v>
      </c>
      <c r="C31" s="13" t="str">
        <f aca="false">IF(SUMPRODUCT(ABS(CPC!D66:P66))&lt;0.01,"✔ Conforme","✖ À vérifier")</f>
        <v>✔ Conforme</v>
      </c>
      <c r="D31" s="17"/>
    </row>
    <row r="32" customFormat="false" ht="15" hidden="false" customHeight="false" outlineLevel="0" collapsed="false">
      <c r="B32" s="16" t="s">
        <v>46</v>
      </c>
      <c r="C32" s="13" t="str">
        <f aca="false">IF(SUMPRODUCT(ABS(ESG!D47:P47))&lt;0.01,"✔ Conforme","✖ À vérifier")</f>
        <v>✔ Conforme</v>
      </c>
      <c r="D32" s="17"/>
    </row>
    <row r="33" customFormat="false" ht="15" hidden="false" customHeight="false" outlineLevel="0" collapsed="false">
      <c r="B33" s="16" t="s">
        <v>47</v>
      </c>
      <c r="C33" s="18" t="n">
        <f aca="false">CPC!Q11</f>
        <v>142000000</v>
      </c>
      <c r="D33" s="17"/>
    </row>
    <row r="34" customFormat="false" ht="15" hidden="false" customHeight="false" outlineLevel="0" collapsed="false">
      <c r="B34" s="16" t="s">
        <v>48</v>
      </c>
      <c r="C34" s="18" t="n">
        <f aca="false">CPC!Q60</f>
        <v>10960000.17</v>
      </c>
      <c r="D34" s="17"/>
    </row>
    <row r="35" customFormat="false" ht="15" hidden="false" customHeight="false" outlineLevel="0" collapsed="false">
      <c r="B35" s="16" t="s">
        <v>49</v>
      </c>
      <c r="C35" s="18" t="n">
        <f aca="false">ESG!Q43</f>
        <v>19590000.13</v>
      </c>
      <c r="D35" s="17"/>
    </row>
    <row r="37" customFormat="false" ht="24" hidden="false" customHeight="true" outlineLevel="0" collapsed="false">
      <c r="B37" s="6" t="s">
        <v>50</v>
      </c>
      <c r="C37" s="6"/>
      <c r="D37" s="6"/>
    </row>
    <row r="38" customFormat="false" ht="31.5" hidden="false" customHeight="true" outlineLevel="0" collapsed="false">
      <c r="B38" s="19" t="s">
        <v>51</v>
      </c>
      <c r="C38" s="19"/>
      <c r="D38" s="19"/>
    </row>
    <row r="39" customFormat="false" ht="31.5" hidden="false" customHeight="true" outlineLevel="0" collapsed="false">
      <c r="B39" s="19" t="s">
        <v>52</v>
      </c>
      <c r="C39" s="19"/>
      <c r="D39" s="19"/>
    </row>
    <row r="40" customFormat="false" ht="31.5" hidden="false" customHeight="true" outlineLevel="0" collapsed="false">
      <c r="B40" s="19" t="s">
        <v>53</v>
      </c>
      <c r="C40" s="19"/>
      <c r="D40" s="19"/>
    </row>
    <row r="41" customFormat="false" ht="31.5" hidden="false" customHeight="true" outlineLevel="0" collapsed="false">
      <c r="B41" s="19" t="s">
        <v>54</v>
      </c>
      <c r="C41" s="19"/>
      <c r="D41" s="19"/>
    </row>
    <row r="42" customFormat="false" ht="31.5" hidden="false" customHeight="true" outlineLevel="0" collapsed="false">
      <c r="B42" s="19" t="s">
        <v>55</v>
      </c>
      <c r="C42" s="19"/>
      <c r="D42" s="19"/>
    </row>
    <row r="43" customFormat="false" ht="31.5" hidden="false" customHeight="true" outlineLevel="0" collapsed="false">
      <c r="B43" s="19" t="s">
        <v>56</v>
      </c>
      <c r="C43" s="19"/>
      <c r="D43" s="19"/>
    </row>
    <row r="44" customFormat="false" ht="31.5" hidden="false" customHeight="true" outlineLevel="0" collapsed="false">
      <c r="B44" s="19" t="s">
        <v>57</v>
      </c>
      <c r="C44" s="19"/>
      <c r="D44" s="19"/>
    </row>
    <row r="45" customFormat="false" ht="31.5" hidden="false" customHeight="true" outlineLevel="0" collapsed="false">
      <c r="B45" s="19" t="s">
        <v>58</v>
      </c>
      <c r="C45" s="19"/>
      <c r="D45" s="19"/>
    </row>
  </sheetData>
  <mergeCells count="27">
    <mergeCell ref="B1:D1"/>
    <mergeCell ref="B2:D2"/>
    <mergeCell ref="B3:D3"/>
    <mergeCell ref="B5:D5"/>
    <mergeCell ref="B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B20:D20"/>
    <mergeCell ref="B29:D29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conditionalFormatting sqref="C30:C32">
    <cfRule type="expression" priority="2" aboveAverage="0" equalAverage="0" bottom="0" percent="0" rank="0" text="" dxfId="0">
      <formula>LEFT(C30,1)="✔"</formula>
    </cfRule>
    <cfRule type="expression" priority="3" aboveAverage="0" equalAverage="0" bottom="0" percent="0" rank="0" text="" dxfId="1">
      <formula>LEFT(C30,1)="✖"</formula>
    </cfRule>
  </conditionalFormatting>
  <hyperlinks>
    <hyperlink ref="D22" location="'Balance'!A1" display="Ouvrir ▸"/>
    <hyperlink ref="D23" location="'CPC'!A1" display="Ouvrir ▸"/>
    <hyperlink ref="D24" location="'ESG'!A1" display="Ouvrir ▸"/>
    <hyperlink ref="D25" location="'Reporting'!A1" display="Ouvrir ▸"/>
    <hyperlink ref="D26" location="'DASHBOARD'!A1" display="Ouvrir ▸"/>
    <hyperlink ref="D27" location="'Lecture'!A1" display="Ouvrir ▸"/>
  </hyperlinks>
  <printOptions headings="false" gridLines="false" gridLinesSet="true" horizontalCentered="true" verticalCentered="false"/>
  <pageMargins left="0.4" right="0.4" top="1" bottom="1" header="0.5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&amp;L&amp;"Calibri,Bold"AéroAtlas Composites SARL&amp;CExercice 2025 — Arrêté au 31/12/2025&amp;RResp. : Karim El Fassi (DAF)</oddHeader>
    <oddFooter>&amp;L&amp;A&amp;C&amp;"Calibri,Bold"Document confidentiel&amp;RPage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E3A"/>
    <pageSetUpPr fitToPage="true"/>
  </sheetPr>
  <dimension ref="B1:P13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746093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58"/>
    <col collapsed="false" customWidth="true" hidden="false" outlineLevel="0" max="16" min="4" style="0" width="19.51"/>
  </cols>
  <sheetData>
    <row r="1" customFormat="false" ht="33.75" hidden="false" customHeight="true" outlineLevel="0" collapsed="false">
      <c r="B1" s="1" t="s">
        <v>59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B2" s="2" t="str">
        <f aca="false">"Société : "&amp;Accueil!$C$8&amp;"     │     Exercice : "&amp;Accueil!$C$11&amp;"     │     Date d'arrêté : "&amp;Accueil!$C$12&amp;"     │     Responsable : "&amp;Accueil!$C$15</f>
        <v>Société : AéroAtlas Composites SARL     │     Exercice : 2025     │     Date d'arrêté : 31/12/2025     │     Responsable : Karim El Fassi (DAF)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3.75" hidden="false" customHeight="true" outlineLevel="0" collapsed="false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18" hidden="false" customHeight="true" outlineLevel="0" collapsed="false">
      <c r="B4" s="20" t="s">
        <v>60</v>
      </c>
      <c r="C4" s="4" t="s">
        <v>61</v>
      </c>
    </row>
    <row r="5" customFormat="false" ht="15" hidden="false" customHeight="false" outlineLevel="0" collapsed="false">
      <c r="B5" s="21"/>
      <c r="C5" s="22" t="s">
        <v>62</v>
      </c>
      <c r="D5" s="23" t="n">
        <f aca="false">ROUND(SUMPRODUCT(($B$7:$B$400&lt;&gt;"")*D$7:D$400),2)</f>
        <v>-0</v>
      </c>
      <c r="E5" s="23" t="n">
        <f aca="false">ROUND(SUMPRODUCT(($B$7:$B$400&lt;&gt;"")*E$7:E$400),2)</f>
        <v>-0</v>
      </c>
      <c r="F5" s="23" t="n">
        <f aca="false">ROUND(SUMPRODUCT(($B$7:$B$400&lt;&gt;"")*F$7:F$400),2)</f>
        <v>0</v>
      </c>
      <c r="G5" s="23" t="n">
        <f aca="false">ROUND(SUMPRODUCT(($B$7:$B$400&lt;&gt;"")*G$7:G$400),2)</f>
        <v>0</v>
      </c>
      <c r="H5" s="23" t="n">
        <f aca="false">ROUND(SUMPRODUCT(($B$7:$B$400&lt;&gt;"")*H$7:H$400),2)</f>
        <v>0</v>
      </c>
      <c r="I5" s="23" t="n">
        <f aca="false">ROUND(SUMPRODUCT(($B$7:$B$400&lt;&gt;"")*I$7:I$400),2)</f>
        <v>0</v>
      </c>
      <c r="J5" s="23" t="n">
        <f aca="false">ROUND(SUMPRODUCT(($B$7:$B$400&lt;&gt;"")*J$7:J$400),2)</f>
        <v>0</v>
      </c>
      <c r="K5" s="23" t="n">
        <f aca="false">ROUND(SUMPRODUCT(($B$7:$B$400&lt;&gt;"")*K$7:K$400),2)</f>
        <v>0</v>
      </c>
      <c r="L5" s="23" t="n">
        <f aca="false">ROUND(SUMPRODUCT(($B$7:$B$400&lt;&gt;"")*L$7:L$400),2)</f>
        <v>0</v>
      </c>
      <c r="M5" s="23" t="n">
        <f aca="false">ROUND(SUMPRODUCT(($B$7:$B$400&lt;&gt;"")*M$7:M$400),2)</f>
        <v>0</v>
      </c>
      <c r="N5" s="23" t="n">
        <f aca="false">ROUND(SUMPRODUCT(($B$7:$B$400&lt;&gt;"")*N$7:N$400),2)</f>
        <v>0</v>
      </c>
      <c r="O5" s="23" t="n">
        <f aca="false">ROUND(SUMPRODUCT(($B$7:$B$400&lt;&gt;"")*O$7:O$400),2)</f>
        <v>0</v>
      </c>
      <c r="P5" s="23" t="n">
        <f aca="false">ROUND(SUMPRODUCT(($B$7:$B$400&lt;&gt;"")*P$7:P$400),2)</f>
        <v>0</v>
      </c>
    </row>
    <row r="6" customFormat="false" ht="30" hidden="false" customHeight="true" outlineLevel="0" collapsed="false">
      <c r="B6" s="12" t="s">
        <v>63</v>
      </c>
      <c r="C6" s="12" t="s">
        <v>64</v>
      </c>
      <c r="D6" s="12" t="s">
        <v>65</v>
      </c>
      <c r="E6" s="12" t="s">
        <v>66</v>
      </c>
      <c r="F6" s="12" t="s">
        <v>67</v>
      </c>
      <c r="G6" s="12" t="s">
        <v>68</v>
      </c>
      <c r="H6" s="12" t="s">
        <v>69</v>
      </c>
      <c r="I6" s="12" t="s">
        <v>70</v>
      </c>
      <c r="J6" s="12" t="s">
        <v>71</v>
      </c>
      <c r="K6" s="12" t="s">
        <v>72</v>
      </c>
      <c r="L6" s="12" t="s">
        <v>73</v>
      </c>
      <c r="M6" s="12" t="s">
        <v>74</v>
      </c>
      <c r="N6" s="12" t="s">
        <v>75</v>
      </c>
      <c r="O6" s="12" t="s">
        <v>76</v>
      </c>
      <c r="P6" s="12" t="s">
        <v>77</v>
      </c>
    </row>
    <row r="7" customFormat="false" ht="19.5" hidden="false" customHeight="true" outlineLevel="0" collapsed="false">
      <c r="B7" s="24"/>
      <c r="C7" s="24" t="s">
        <v>78</v>
      </c>
      <c r="D7" s="25" t="n">
        <f aca="false">SUM(D8:D18)</f>
        <v>-125140000</v>
      </c>
      <c r="E7" s="25" t="n">
        <f aca="false">SUM(E8:E18)</f>
        <v>-124786839.54</v>
      </c>
      <c r="F7" s="25" t="n">
        <f aca="false">SUM(F8:F18)</f>
        <v>-124962509.91</v>
      </c>
      <c r="G7" s="25" t="n">
        <f aca="false">SUM(G8:G18)</f>
        <v>-125469197.69</v>
      </c>
      <c r="H7" s="25" t="n">
        <f aca="false">SUM(H8:H18)</f>
        <v>-125975330.49</v>
      </c>
      <c r="I7" s="25" t="n">
        <f aca="false">SUM(I8:I18)</f>
        <v>-126270929.04</v>
      </c>
      <c r="J7" s="25" t="n">
        <f aca="false">SUM(J8:J18)</f>
        <v>-127141890.99</v>
      </c>
      <c r="K7" s="25" t="n">
        <f aca="false">SUM(K8:K18)</f>
        <v>-128263774.18</v>
      </c>
      <c r="L7" s="25" t="n">
        <f aca="false">SUM(L8:L18)</f>
        <v>-128888596.57</v>
      </c>
      <c r="M7" s="25" t="n">
        <f aca="false">SUM(M8:M18)</f>
        <v>-127931112.04</v>
      </c>
      <c r="N7" s="25" t="n">
        <f aca="false">SUM(N8:N18)</f>
        <v>-127728911.48</v>
      </c>
      <c r="O7" s="25" t="n">
        <f aca="false">SUM(O8:O18)</f>
        <v>-128327461.41</v>
      </c>
      <c r="P7" s="25" t="n">
        <f aca="false">SUM(P8:P18)</f>
        <v>-128650428.16</v>
      </c>
    </row>
    <row r="8" customFormat="false" ht="15" hidden="false" customHeight="false" outlineLevel="0" collapsed="false">
      <c r="B8" s="26" t="n">
        <v>1111</v>
      </c>
      <c r="C8" s="27" t="s">
        <v>79</v>
      </c>
      <c r="D8" s="28" t="n">
        <v>-50000000</v>
      </c>
      <c r="E8" s="28" t="n">
        <v>-50000000</v>
      </c>
      <c r="F8" s="28" t="n">
        <v>-50000000</v>
      </c>
      <c r="G8" s="28" t="n">
        <v>-50000000</v>
      </c>
      <c r="H8" s="28" t="n">
        <v>-50000000</v>
      </c>
      <c r="I8" s="28" t="n">
        <v>-50000000</v>
      </c>
      <c r="J8" s="28" t="n">
        <v>-50000000</v>
      </c>
      <c r="K8" s="28" t="n">
        <v>-50000000</v>
      </c>
      <c r="L8" s="28" t="n">
        <v>-50000000</v>
      </c>
      <c r="M8" s="28" t="n">
        <v>-50000000</v>
      </c>
      <c r="N8" s="28" t="n">
        <v>-50000000</v>
      </c>
      <c r="O8" s="28" t="n">
        <v>-50000000</v>
      </c>
      <c r="P8" s="28" t="n">
        <v>-50000000</v>
      </c>
    </row>
    <row r="9" customFormat="false" ht="15" hidden="false" customHeight="false" outlineLevel="0" collapsed="false">
      <c r="B9" s="29" t="n">
        <v>1140</v>
      </c>
      <c r="C9" s="30" t="s">
        <v>80</v>
      </c>
      <c r="D9" s="31" t="n">
        <v>-5000000</v>
      </c>
      <c r="E9" s="31" t="n">
        <v>-5000000</v>
      </c>
      <c r="F9" s="31" t="n">
        <v>-5000000</v>
      </c>
      <c r="G9" s="31" t="n">
        <v>-5000000</v>
      </c>
      <c r="H9" s="31" t="n">
        <v>-5000000</v>
      </c>
      <c r="I9" s="31" t="n">
        <v>-5000000</v>
      </c>
      <c r="J9" s="31" t="n">
        <v>-5000000</v>
      </c>
      <c r="K9" s="31" t="n">
        <v>-5000000</v>
      </c>
      <c r="L9" s="31" t="n">
        <v>-5000000</v>
      </c>
      <c r="M9" s="31" t="n">
        <v>-5000000</v>
      </c>
      <c r="N9" s="31" t="n">
        <v>-5000000</v>
      </c>
      <c r="O9" s="31" t="n">
        <v>-5000000</v>
      </c>
      <c r="P9" s="31" t="n">
        <v>-5000000</v>
      </c>
    </row>
    <row r="10" customFormat="false" ht="15" hidden="false" customHeight="false" outlineLevel="0" collapsed="false">
      <c r="B10" s="26" t="n">
        <v>1161</v>
      </c>
      <c r="C10" s="27" t="s">
        <v>81</v>
      </c>
      <c r="D10" s="28" t="n">
        <v>-10000000</v>
      </c>
      <c r="E10" s="28" t="n">
        <v>-10000000</v>
      </c>
      <c r="F10" s="28" t="n">
        <v>-10000000</v>
      </c>
      <c r="G10" s="28" t="n">
        <v>-10000000</v>
      </c>
      <c r="H10" s="28" t="n">
        <v>-10000000</v>
      </c>
      <c r="I10" s="28" t="n">
        <v>-10000000</v>
      </c>
      <c r="J10" s="28" t="n">
        <v>-18806839.54</v>
      </c>
      <c r="K10" s="28" t="n">
        <v>-18806839.54</v>
      </c>
      <c r="L10" s="28" t="n">
        <v>-18806839.54</v>
      </c>
      <c r="M10" s="28" t="n">
        <v>-18806839.54</v>
      </c>
      <c r="N10" s="28" t="n">
        <v>-18806839.54</v>
      </c>
      <c r="O10" s="28" t="n">
        <v>-18806839.54</v>
      </c>
      <c r="P10" s="28" t="n">
        <v>-18806839.54</v>
      </c>
    </row>
    <row r="11" customFormat="false" ht="15" hidden="false" customHeight="false" outlineLevel="0" collapsed="false">
      <c r="B11" s="29" t="n">
        <v>1181</v>
      </c>
      <c r="C11" s="30" t="s">
        <v>82</v>
      </c>
      <c r="D11" s="31" t="n">
        <v>0</v>
      </c>
      <c r="E11" s="31" t="n">
        <v>-8806839.54</v>
      </c>
      <c r="F11" s="31" t="n">
        <v>-8806839.54</v>
      </c>
      <c r="G11" s="31" t="n">
        <v>-8806839.54</v>
      </c>
      <c r="H11" s="31" t="n">
        <v>-8806839.54</v>
      </c>
      <c r="I11" s="31" t="n">
        <v>-8806839.54</v>
      </c>
      <c r="J11" s="31" t="n">
        <v>0</v>
      </c>
      <c r="K11" s="31" t="n">
        <v>0</v>
      </c>
      <c r="L11" s="31" t="n">
        <v>0</v>
      </c>
      <c r="M11" s="31" t="n">
        <v>0</v>
      </c>
      <c r="N11" s="31" t="n">
        <v>0</v>
      </c>
      <c r="O11" s="31" t="n">
        <v>0</v>
      </c>
      <c r="P11" s="31" t="n">
        <v>0</v>
      </c>
    </row>
    <row r="12" customFormat="false" ht="15" hidden="false" customHeight="false" outlineLevel="0" collapsed="false">
      <c r="B12" s="26" t="n">
        <v>1191</v>
      </c>
      <c r="C12" s="27" t="s">
        <v>83</v>
      </c>
      <c r="D12" s="28" t="n">
        <v>-8600000</v>
      </c>
      <c r="E12" s="28" t="n">
        <v>0</v>
      </c>
      <c r="F12" s="28" t="n">
        <v>-735670.37</v>
      </c>
      <c r="G12" s="28" t="n">
        <v>-1802358.15</v>
      </c>
      <c r="H12" s="28" t="n">
        <v>-2868490.95</v>
      </c>
      <c r="I12" s="28" t="n">
        <v>-3724089.5</v>
      </c>
      <c r="J12" s="28" t="n">
        <v>-5155051.45</v>
      </c>
      <c r="K12" s="28" t="n">
        <v>-6836934.64</v>
      </c>
      <c r="L12" s="28" t="n">
        <v>-8021757.03</v>
      </c>
      <c r="M12" s="28" t="n">
        <v>-7624272.5</v>
      </c>
      <c r="N12" s="28" t="n">
        <v>-7982071.94</v>
      </c>
      <c r="O12" s="28" t="n">
        <v>-9140621.87</v>
      </c>
      <c r="P12" s="28" t="n">
        <v>-10023588.62</v>
      </c>
    </row>
    <row r="13" customFormat="false" ht="15" hidden="false" customHeight="false" outlineLevel="0" collapsed="false">
      <c r="B13" s="29" t="n">
        <v>1311</v>
      </c>
      <c r="C13" s="30" t="s">
        <v>84</v>
      </c>
      <c r="D13" s="31" t="n">
        <v>-1500000</v>
      </c>
      <c r="E13" s="31" t="n">
        <v>-1500000</v>
      </c>
      <c r="F13" s="31" t="n">
        <v>-1500000</v>
      </c>
      <c r="G13" s="31" t="n">
        <v>-1500000</v>
      </c>
      <c r="H13" s="31" t="n">
        <v>-1500000</v>
      </c>
      <c r="I13" s="31" t="n">
        <v>-1500000</v>
      </c>
      <c r="J13" s="31" t="n">
        <v>-1500000</v>
      </c>
      <c r="K13" s="31" t="n">
        <v>-1500000</v>
      </c>
      <c r="L13" s="31" t="n">
        <v>-1500000</v>
      </c>
      <c r="M13" s="31" t="n">
        <v>-1500000</v>
      </c>
      <c r="N13" s="31" t="n">
        <v>-1500000</v>
      </c>
      <c r="O13" s="31" t="n">
        <v>-1500000</v>
      </c>
      <c r="P13" s="31" t="n">
        <v>-1500000</v>
      </c>
    </row>
    <row r="14" customFormat="false" ht="15" hidden="false" customHeight="false" outlineLevel="0" collapsed="false">
      <c r="B14" s="26" t="n">
        <v>1319</v>
      </c>
      <c r="C14" s="27" t="s">
        <v>85</v>
      </c>
      <c r="D14" s="28" t="n">
        <v>360000</v>
      </c>
      <c r="E14" s="28" t="n">
        <v>370000</v>
      </c>
      <c r="F14" s="28" t="n">
        <v>380000</v>
      </c>
      <c r="G14" s="28" t="n">
        <v>390000</v>
      </c>
      <c r="H14" s="28" t="n">
        <v>400000</v>
      </c>
      <c r="I14" s="28" t="n">
        <v>410000</v>
      </c>
      <c r="J14" s="28" t="n">
        <v>420000</v>
      </c>
      <c r="K14" s="28" t="n">
        <v>430000</v>
      </c>
      <c r="L14" s="28" t="n">
        <v>440000</v>
      </c>
      <c r="M14" s="28" t="n">
        <v>450000</v>
      </c>
      <c r="N14" s="28" t="n">
        <v>460000</v>
      </c>
      <c r="O14" s="28" t="n">
        <v>470000</v>
      </c>
      <c r="P14" s="28" t="n">
        <v>480000</v>
      </c>
    </row>
    <row r="15" customFormat="false" ht="15" hidden="false" customHeight="false" outlineLevel="0" collapsed="false">
      <c r="B15" s="29" t="n">
        <v>1481</v>
      </c>
      <c r="C15" s="30" t="s">
        <v>86</v>
      </c>
      <c r="D15" s="31" t="n">
        <v>-50000000</v>
      </c>
      <c r="E15" s="31" t="n">
        <v>-49450000</v>
      </c>
      <c r="F15" s="31" t="n">
        <v>-48900000</v>
      </c>
      <c r="G15" s="31" t="n">
        <v>-48350000</v>
      </c>
      <c r="H15" s="31" t="n">
        <v>-47800000</v>
      </c>
      <c r="I15" s="31" t="n">
        <v>-47250000</v>
      </c>
      <c r="J15" s="31" t="n">
        <v>-46700000</v>
      </c>
      <c r="K15" s="31" t="n">
        <v>-46150000</v>
      </c>
      <c r="L15" s="31" t="n">
        <v>-45600000</v>
      </c>
      <c r="M15" s="31" t="n">
        <v>-45050000</v>
      </c>
      <c r="N15" s="31" t="n">
        <v>-44500000</v>
      </c>
      <c r="O15" s="31" t="n">
        <v>-43950000</v>
      </c>
      <c r="P15" s="31" t="n">
        <v>-43400000</v>
      </c>
    </row>
    <row r="16" customFormat="false" ht="15" hidden="false" customHeight="false" outlineLevel="0" collapsed="false">
      <c r="B16" s="26" t="n">
        <v>1488</v>
      </c>
      <c r="C16" s="27" t="s">
        <v>87</v>
      </c>
      <c r="D16" s="28" t="n">
        <v>0</v>
      </c>
      <c r="E16" s="28" t="n">
        <v>0</v>
      </c>
      <c r="F16" s="28" t="n">
        <v>0</v>
      </c>
      <c r="G16" s="28" t="n">
        <v>0</v>
      </c>
      <c r="H16" s="28" t="n">
        <v>0</v>
      </c>
      <c r="I16" s="28" t="n">
        <v>0</v>
      </c>
      <c r="J16" s="28" t="n">
        <v>0</v>
      </c>
      <c r="K16" s="28" t="n">
        <v>0</v>
      </c>
      <c r="L16" s="28" t="n">
        <v>0</v>
      </c>
      <c r="M16" s="28" t="n">
        <v>0</v>
      </c>
      <c r="N16" s="28" t="n">
        <v>0</v>
      </c>
      <c r="O16" s="28" t="n">
        <v>0</v>
      </c>
      <c r="P16" s="28" t="n">
        <v>0</v>
      </c>
    </row>
    <row r="17" customFormat="false" ht="15" hidden="false" customHeight="false" outlineLevel="0" collapsed="false">
      <c r="B17" s="29" t="n">
        <v>1511</v>
      </c>
      <c r="C17" s="30" t="s">
        <v>88</v>
      </c>
      <c r="D17" s="31" t="n">
        <v>-400000</v>
      </c>
      <c r="E17" s="31" t="n">
        <v>-400000</v>
      </c>
      <c r="F17" s="31" t="n">
        <v>-400000</v>
      </c>
      <c r="G17" s="31" t="n">
        <v>-400000</v>
      </c>
      <c r="H17" s="31" t="n">
        <v>-400000</v>
      </c>
      <c r="I17" s="31" t="n">
        <v>-400000</v>
      </c>
      <c r="J17" s="31" t="n">
        <v>-400000</v>
      </c>
      <c r="K17" s="31" t="n">
        <v>-400000</v>
      </c>
      <c r="L17" s="31" t="n">
        <v>-400000</v>
      </c>
      <c r="M17" s="31" t="n">
        <v>-400000</v>
      </c>
      <c r="N17" s="31" t="n">
        <v>-400000</v>
      </c>
      <c r="O17" s="31" t="n">
        <v>-400000</v>
      </c>
      <c r="P17" s="31" t="n">
        <v>-400000</v>
      </c>
    </row>
    <row r="18" customFormat="false" ht="15" hidden="false" customHeight="false" outlineLevel="0" collapsed="false">
      <c r="B18" s="26" t="n">
        <v>1516</v>
      </c>
      <c r="C18" s="27" t="s">
        <v>89</v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0</v>
      </c>
      <c r="I18" s="28" t="n">
        <v>0</v>
      </c>
      <c r="J18" s="28" t="n">
        <v>0</v>
      </c>
      <c r="K18" s="28" t="n">
        <v>0</v>
      </c>
      <c r="L18" s="28" t="n">
        <v>0</v>
      </c>
      <c r="M18" s="28" t="n">
        <v>0</v>
      </c>
      <c r="N18" s="28" t="n">
        <v>0</v>
      </c>
      <c r="O18" s="28" t="n">
        <v>0</v>
      </c>
      <c r="P18" s="28" t="n">
        <v>0</v>
      </c>
    </row>
    <row r="19" customFormat="false" ht="19.5" hidden="false" customHeight="true" outlineLevel="0" collapsed="false">
      <c r="B19" s="24"/>
      <c r="C19" s="24" t="s">
        <v>90</v>
      </c>
      <c r="D19" s="25" t="n">
        <f aca="false">SUM(D20:D35)</f>
        <v>97000000</v>
      </c>
      <c r="E19" s="25" t="n">
        <f aca="false">SUM(E20:E35)</f>
        <v>96266666.68</v>
      </c>
      <c r="F19" s="25" t="n">
        <f aca="false">SUM(F20:F35)</f>
        <v>95533333.33</v>
      </c>
      <c r="G19" s="25" t="n">
        <f aca="false">SUM(G20:G35)</f>
        <v>94800000.01</v>
      </c>
      <c r="H19" s="25" t="n">
        <f aca="false">SUM(H20:H35)</f>
        <v>98566666.69</v>
      </c>
      <c r="I19" s="25" t="n">
        <f aca="false">SUM(I20:I35)</f>
        <v>97833333.34</v>
      </c>
      <c r="J19" s="25" t="n">
        <f aca="false">SUM(J20:J35)</f>
        <v>97100000.02</v>
      </c>
      <c r="K19" s="25" t="n">
        <f aca="false">SUM(K20:K35)</f>
        <v>96366666.7</v>
      </c>
      <c r="L19" s="25" t="n">
        <f aca="false">SUM(L20:L35)</f>
        <v>95633333.35</v>
      </c>
      <c r="M19" s="25" t="n">
        <f aca="false">SUM(M20:M35)</f>
        <v>96900000.03</v>
      </c>
      <c r="N19" s="25" t="n">
        <f aca="false">SUM(N20:N35)</f>
        <v>95916666.71</v>
      </c>
      <c r="O19" s="25" t="n">
        <f aca="false">SUM(O20:O35)</f>
        <v>95183333.36</v>
      </c>
      <c r="P19" s="25" t="n">
        <f aca="false">SUM(P20:P35)</f>
        <v>94450000.04</v>
      </c>
    </row>
    <row r="20" customFormat="false" ht="15" hidden="false" customHeight="false" outlineLevel="0" collapsed="false">
      <c r="B20" s="26" t="n">
        <v>2121</v>
      </c>
      <c r="C20" s="27" t="s">
        <v>91</v>
      </c>
      <c r="D20" s="28" t="n">
        <v>2000000</v>
      </c>
      <c r="E20" s="28" t="n">
        <v>2000000</v>
      </c>
      <c r="F20" s="28" t="n">
        <v>2000000</v>
      </c>
      <c r="G20" s="28" t="n">
        <v>2000000</v>
      </c>
      <c r="H20" s="28" t="n">
        <v>2000000</v>
      </c>
      <c r="I20" s="28" t="n">
        <v>2000000</v>
      </c>
      <c r="J20" s="28" t="n">
        <v>2000000</v>
      </c>
      <c r="K20" s="28" t="n">
        <v>2000000</v>
      </c>
      <c r="L20" s="28" t="n">
        <v>2000000</v>
      </c>
      <c r="M20" s="28" t="n">
        <v>2000000</v>
      </c>
      <c r="N20" s="28" t="n">
        <v>2000000</v>
      </c>
      <c r="O20" s="28" t="n">
        <v>2000000</v>
      </c>
      <c r="P20" s="28" t="n">
        <v>2000000</v>
      </c>
    </row>
    <row r="21" customFormat="false" ht="15" hidden="false" customHeight="false" outlineLevel="0" collapsed="false">
      <c r="B21" s="29" t="n">
        <v>2220</v>
      </c>
      <c r="C21" s="30" t="s">
        <v>92</v>
      </c>
      <c r="D21" s="31" t="n">
        <v>1800000</v>
      </c>
      <c r="E21" s="31" t="n">
        <v>1800000</v>
      </c>
      <c r="F21" s="31" t="n">
        <v>1800000</v>
      </c>
      <c r="G21" s="31" t="n">
        <v>1800000</v>
      </c>
      <c r="H21" s="31" t="n">
        <v>1800000</v>
      </c>
      <c r="I21" s="31" t="n">
        <v>1800000</v>
      </c>
      <c r="J21" s="31" t="n">
        <v>1800000</v>
      </c>
      <c r="K21" s="31" t="n">
        <v>1800000</v>
      </c>
      <c r="L21" s="31" t="n">
        <v>1800000</v>
      </c>
      <c r="M21" s="31" t="n">
        <v>1800000</v>
      </c>
      <c r="N21" s="31" t="n">
        <v>1800000</v>
      </c>
      <c r="O21" s="31" t="n">
        <v>1800000</v>
      </c>
      <c r="P21" s="31" t="n">
        <v>1800000</v>
      </c>
    </row>
    <row r="22" customFormat="false" ht="15" hidden="false" customHeight="false" outlineLevel="0" collapsed="false">
      <c r="B22" s="26" t="n">
        <v>2310</v>
      </c>
      <c r="C22" s="27" t="s">
        <v>93</v>
      </c>
      <c r="D22" s="28" t="n">
        <v>6000000</v>
      </c>
      <c r="E22" s="28" t="n">
        <v>6000000</v>
      </c>
      <c r="F22" s="28" t="n">
        <v>6000000</v>
      </c>
      <c r="G22" s="28" t="n">
        <v>6000000</v>
      </c>
      <c r="H22" s="28" t="n">
        <v>6000000</v>
      </c>
      <c r="I22" s="28" t="n">
        <v>6000000</v>
      </c>
      <c r="J22" s="28" t="n">
        <v>6000000</v>
      </c>
      <c r="K22" s="28" t="n">
        <v>6000000</v>
      </c>
      <c r="L22" s="28" t="n">
        <v>6000000</v>
      </c>
      <c r="M22" s="28" t="n">
        <v>6000000</v>
      </c>
      <c r="N22" s="28" t="n">
        <v>6000000</v>
      </c>
      <c r="O22" s="28" t="n">
        <v>6000000</v>
      </c>
      <c r="P22" s="28" t="n">
        <v>6000000</v>
      </c>
    </row>
    <row r="23" customFormat="false" ht="15" hidden="false" customHeight="false" outlineLevel="0" collapsed="false">
      <c r="B23" s="29" t="n">
        <v>2321</v>
      </c>
      <c r="C23" s="30" t="s">
        <v>94</v>
      </c>
      <c r="D23" s="31" t="n">
        <v>28000000</v>
      </c>
      <c r="E23" s="31" t="n">
        <v>28000000</v>
      </c>
      <c r="F23" s="31" t="n">
        <v>28000000</v>
      </c>
      <c r="G23" s="31" t="n">
        <v>28000000</v>
      </c>
      <c r="H23" s="31" t="n">
        <v>28000000</v>
      </c>
      <c r="I23" s="31" t="n">
        <v>28000000</v>
      </c>
      <c r="J23" s="31" t="n">
        <v>28000000</v>
      </c>
      <c r="K23" s="31" t="n">
        <v>28000000</v>
      </c>
      <c r="L23" s="31" t="n">
        <v>28000000</v>
      </c>
      <c r="M23" s="31" t="n">
        <v>28000000</v>
      </c>
      <c r="N23" s="31" t="n">
        <v>28000000</v>
      </c>
      <c r="O23" s="31" t="n">
        <v>28000000</v>
      </c>
      <c r="P23" s="31" t="n">
        <v>28000000</v>
      </c>
    </row>
    <row r="24" customFormat="false" ht="15" hidden="false" customHeight="false" outlineLevel="0" collapsed="false">
      <c r="B24" s="26" t="n">
        <v>2332</v>
      </c>
      <c r="C24" s="27" t="s">
        <v>95</v>
      </c>
      <c r="D24" s="28" t="n">
        <v>108000000</v>
      </c>
      <c r="E24" s="28" t="n">
        <v>108000000</v>
      </c>
      <c r="F24" s="28" t="n">
        <v>108000000</v>
      </c>
      <c r="G24" s="28" t="n">
        <v>108000000</v>
      </c>
      <c r="H24" s="28" t="n">
        <v>112500000</v>
      </c>
      <c r="I24" s="28" t="n">
        <v>112500000</v>
      </c>
      <c r="J24" s="28" t="n">
        <v>112500000</v>
      </c>
      <c r="K24" s="28" t="n">
        <v>112500000</v>
      </c>
      <c r="L24" s="28" t="n">
        <v>112500000</v>
      </c>
      <c r="M24" s="28" t="n">
        <v>114000000</v>
      </c>
      <c r="N24" s="28" t="n">
        <v>114000000</v>
      </c>
      <c r="O24" s="28" t="n">
        <v>114000000</v>
      </c>
      <c r="P24" s="28" t="n">
        <v>114000000</v>
      </c>
    </row>
    <row r="25" customFormat="false" ht="15" hidden="false" customHeight="false" outlineLevel="0" collapsed="false">
      <c r="B25" s="29" t="n">
        <v>2340</v>
      </c>
      <c r="C25" s="30" t="s">
        <v>96</v>
      </c>
      <c r="D25" s="31" t="n">
        <v>3000000</v>
      </c>
      <c r="E25" s="31" t="n">
        <v>3000000</v>
      </c>
      <c r="F25" s="31" t="n">
        <v>3000000</v>
      </c>
      <c r="G25" s="31" t="n">
        <v>3000000</v>
      </c>
      <c r="H25" s="31" t="n">
        <v>3000000</v>
      </c>
      <c r="I25" s="31" t="n">
        <v>3000000</v>
      </c>
      <c r="J25" s="31" t="n">
        <v>3000000</v>
      </c>
      <c r="K25" s="31" t="n">
        <v>3000000</v>
      </c>
      <c r="L25" s="31" t="n">
        <v>3000000</v>
      </c>
      <c r="M25" s="31" t="n">
        <v>3000000</v>
      </c>
      <c r="N25" s="31" t="n">
        <v>1800000</v>
      </c>
      <c r="O25" s="31" t="n">
        <v>1800000</v>
      </c>
      <c r="P25" s="31" t="n">
        <v>1800000</v>
      </c>
    </row>
    <row r="26" customFormat="false" ht="15" hidden="false" customHeight="false" outlineLevel="0" collapsed="false">
      <c r="B26" s="26" t="n">
        <v>2351</v>
      </c>
      <c r="C26" s="27" t="s">
        <v>97</v>
      </c>
      <c r="D26" s="28" t="n">
        <v>1200000</v>
      </c>
      <c r="E26" s="28" t="n">
        <v>1200000</v>
      </c>
      <c r="F26" s="28" t="n">
        <v>1200000</v>
      </c>
      <c r="G26" s="28" t="n">
        <v>1200000</v>
      </c>
      <c r="H26" s="28" t="n">
        <v>1200000</v>
      </c>
      <c r="I26" s="28" t="n">
        <v>1200000</v>
      </c>
      <c r="J26" s="28" t="n">
        <v>1200000</v>
      </c>
      <c r="K26" s="28" t="n">
        <v>1200000</v>
      </c>
      <c r="L26" s="28" t="n">
        <v>1200000</v>
      </c>
      <c r="M26" s="28" t="n">
        <v>1200000</v>
      </c>
      <c r="N26" s="28" t="n">
        <v>1200000</v>
      </c>
      <c r="O26" s="28" t="n">
        <v>1200000</v>
      </c>
      <c r="P26" s="28" t="n">
        <v>1200000</v>
      </c>
    </row>
    <row r="27" customFormat="false" ht="15" hidden="false" customHeight="false" outlineLevel="0" collapsed="false">
      <c r="B27" s="29" t="n">
        <v>2355</v>
      </c>
      <c r="C27" s="30" t="s">
        <v>98</v>
      </c>
      <c r="D27" s="31" t="n">
        <v>2400000</v>
      </c>
      <c r="E27" s="31" t="n">
        <v>2400000</v>
      </c>
      <c r="F27" s="31" t="n">
        <v>2400000</v>
      </c>
      <c r="G27" s="31" t="n">
        <v>2400000</v>
      </c>
      <c r="H27" s="31" t="n">
        <v>2400000</v>
      </c>
      <c r="I27" s="31" t="n">
        <v>2400000</v>
      </c>
      <c r="J27" s="31" t="n">
        <v>2400000</v>
      </c>
      <c r="K27" s="31" t="n">
        <v>2400000</v>
      </c>
      <c r="L27" s="31" t="n">
        <v>2400000</v>
      </c>
      <c r="M27" s="31" t="n">
        <v>2900000</v>
      </c>
      <c r="N27" s="31" t="n">
        <v>2900000</v>
      </c>
      <c r="O27" s="31" t="n">
        <v>2900000</v>
      </c>
      <c r="P27" s="31" t="n">
        <v>2900000</v>
      </c>
    </row>
    <row r="28" customFormat="false" ht="15" hidden="false" customHeight="false" outlineLevel="0" collapsed="false">
      <c r="B28" s="26" t="n">
        <v>2397</v>
      </c>
      <c r="C28" s="27" t="s">
        <v>99</v>
      </c>
      <c r="D28" s="28" t="n">
        <v>0</v>
      </c>
      <c r="E28" s="28" t="n">
        <v>0</v>
      </c>
      <c r="F28" s="28" t="n">
        <v>0</v>
      </c>
      <c r="G28" s="28" t="n">
        <v>0</v>
      </c>
      <c r="H28" s="28" t="n">
        <v>0</v>
      </c>
      <c r="I28" s="28" t="n">
        <v>0</v>
      </c>
      <c r="J28" s="28" t="n">
        <v>0</v>
      </c>
      <c r="K28" s="28" t="n">
        <v>0</v>
      </c>
      <c r="L28" s="28" t="n">
        <v>0</v>
      </c>
      <c r="M28" s="28" t="n">
        <v>0</v>
      </c>
      <c r="N28" s="28" t="n">
        <v>0</v>
      </c>
      <c r="O28" s="28" t="n">
        <v>0</v>
      </c>
      <c r="P28" s="28" t="n">
        <v>0</v>
      </c>
    </row>
    <row r="29" customFormat="false" ht="15" hidden="false" customHeight="false" outlineLevel="0" collapsed="false">
      <c r="B29" s="29" t="n">
        <v>2486</v>
      </c>
      <c r="C29" s="30" t="s">
        <v>100</v>
      </c>
      <c r="D29" s="31" t="n">
        <v>600000</v>
      </c>
      <c r="E29" s="31" t="n">
        <v>600000</v>
      </c>
      <c r="F29" s="31" t="n">
        <v>600000</v>
      </c>
      <c r="G29" s="31" t="n">
        <v>600000</v>
      </c>
      <c r="H29" s="31" t="n">
        <v>600000</v>
      </c>
      <c r="I29" s="31" t="n">
        <v>600000</v>
      </c>
      <c r="J29" s="31" t="n">
        <v>600000</v>
      </c>
      <c r="K29" s="31" t="n">
        <v>600000</v>
      </c>
      <c r="L29" s="31" t="n">
        <v>600000</v>
      </c>
      <c r="M29" s="31" t="n">
        <v>600000</v>
      </c>
      <c r="N29" s="31" t="n">
        <v>600000</v>
      </c>
      <c r="O29" s="31" t="n">
        <v>600000</v>
      </c>
      <c r="P29" s="31" t="n">
        <v>600000</v>
      </c>
    </row>
    <row r="30" customFormat="false" ht="15" hidden="false" customHeight="false" outlineLevel="0" collapsed="false">
      <c r="B30" s="26" t="n">
        <v>2812</v>
      </c>
      <c r="C30" s="27" t="s">
        <v>101</v>
      </c>
      <c r="D30" s="28" t="n">
        <v>-800000</v>
      </c>
      <c r="E30" s="28" t="n">
        <v>-833333.33</v>
      </c>
      <c r="F30" s="28" t="n">
        <v>-866666.66</v>
      </c>
      <c r="G30" s="28" t="n">
        <v>-899999.99</v>
      </c>
      <c r="H30" s="28" t="n">
        <v>-933333.32</v>
      </c>
      <c r="I30" s="28" t="n">
        <v>-966666.65</v>
      </c>
      <c r="J30" s="28" t="n">
        <v>-999999.98</v>
      </c>
      <c r="K30" s="28" t="n">
        <v>-1033333.31</v>
      </c>
      <c r="L30" s="28" t="n">
        <v>-1066666.64</v>
      </c>
      <c r="M30" s="28" t="n">
        <v>-1099999.97</v>
      </c>
      <c r="N30" s="28" t="n">
        <v>-1133333.3</v>
      </c>
      <c r="O30" s="28" t="n">
        <v>-1166666.63</v>
      </c>
      <c r="P30" s="28" t="n">
        <v>-1199999.96</v>
      </c>
    </row>
    <row r="31" customFormat="false" ht="15" hidden="false" customHeight="false" outlineLevel="0" collapsed="false">
      <c r="B31" s="29" t="n">
        <v>2822</v>
      </c>
      <c r="C31" s="30" t="s">
        <v>102</v>
      </c>
      <c r="D31" s="31" t="n">
        <v>-600000</v>
      </c>
      <c r="E31" s="31" t="n">
        <v>-625000</v>
      </c>
      <c r="F31" s="31" t="n">
        <v>-650000</v>
      </c>
      <c r="G31" s="31" t="n">
        <v>-675000</v>
      </c>
      <c r="H31" s="31" t="n">
        <v>-700000</v>
      </c>
      <c r="I31" s="31" t="n">
        <v>-725000</v>
      </c>
      <c r="J31" s="31" t="n">
        <v>-750000</v>
      </c>
      <c r="K31" s="31" t="n">
        <v>-775000</v>
      </c>
      <c r="L31" s="31" t="n">
        <v>-800000</v>
      </c>
      <c r="M31" s="31" t="n">
        <v>-825000</v>
      </c>
      <c r="N31" s="31" t="n">
        <v>-850000</v>
      </c>
      <c r="O31" s="31" t="n">
        <v>-875000</v>
      </c>
      <c r="P31" s="31" t="n">
        <v>-900000</v>
      </c>
    </row>
    <row r="32" customFormat="false" ht="15" hidden="false" customHeight="false" outlineLevel="0" collapsed="false">
      <c r="B32" s="26" t="n">
        <v>2832</v>
      </c>
      <c r="C32" s="27" t="s">
        <v>103</v>
      </c>
      <c r="D32" s="28" t="n">
        <v>-9500000</v>
      </c>
      <c r="E32" s="28" t="n">
        <v>-9593333.33</v>
      </c>
      <c r="F32" s="28" t="n">
        <v>-9686666.67</v>
      </c>
      <c r="G32" s="28" t="n">
        <v>-9780000</v>
      </c>
      <c r="H32" s="28" t="n">
        <v>-9873333.33</v>
      </c>
      <c r="I32" s="28" t="n">
        <v>-9966666.67</v>
      </c>
      <c r="J32" s="28" t="n">
        <v>-10060000</v>
      </c>
      <c r="K32" s="28" t="n">
        <v>-10153333.33</v>
      </c>
      <c r="L32" s="28" t="n">
        <v>-10246666.67</v>
      </c>
      <c r="M32" s="28" t="n">
        <v>-10340000</v>
      </c>
      <c r="N32" s="28" t="n">
        <v>-10433333.33</v>
      </c>
      <c r="O32" s="28" t="n">
        <v>-10526666.67</v>
      </c>
      <c r="P32" s="28" t="n">
        <v>-10620000</v>
      </c>
    </row>
    <row r="33" customFormat="false" ht="15" hidden="false" customHeight="false" outlineLevel="0" collapsed="false">
      <c r="B33" s="29" t="n">
        <v>2833</v>
      </c>
      <c r="C33" s="30" t="s">
        <v>104</v>
      </c>
      <c r="D33" s="31" t="n">
        <v>-42000000</v>
      </c>
      <c r="E33" s="31" t="n">
        <v>-42500000</v>
      </c>
      <c r="F33" s="31" t="n">
        <v>-43000000</v>
      </c>
      <c r="G33" s="31" t="n">
        <v>-43500000</v>
      </c>
      <c r="H33" s="31" t="n">
        <v>-44000000</v>
      </c>
      <c r="I33" s="31" t="n">
        <v>-44500000</v>
      </c>
      <c r="J33" s="31" t="n">
        <v>-45000000</v>
      </c>
      <c r="K33" s="31" t="n">
        <v>-45500000</v>
      </c>
      <c r="L33" s="31" t="n">
        <v>-46000000</v>
      </c>
      <c r="M33" s="31" t="n">
        <v>-46500000</v>
      </c>
      <c r="N33" s="31" t="n">
        <v>-47000000</v>
      </c>
      <c r="O33" s="31" t="n">
        <v>-47500000</v>
      </c>
      <c r="P33" s="31" t="n">
        <v>-48000000</v>
      </c>
    </row>
    <row r="34" customFormat="false" ht="15" hidden="false" customHeight="false" outlineLevel="0" collapsed="false">
      <c r="B34" s="26" t="n">
        <v>2834</v>
      </c>
      <c r="C34" s="27" t="s">
        <v>105</v>
      </c>
      <c r="D34" s="28" t="n">
        <v>-1600000</v>
      </c>
      <c r="E34" s="28" t="n">
        <v>-1633333.33</v>
      </c>
      <c r="F34" s="28" t="n">
        <v>-1666666.67</v>
      </c>
      <c r="G34" s="28" t="n">
        <v>-1700000</v>
      </c>
      <c r="H34" s="28" t="n">
        <v>-1733333.33</v>
      </c>
      <c r="I34" s="28" t="n">
        <v>-1766666.67</v>
      </c>
      <c r="J34" s="28" t="n">
        <v>-1800000</v>
      </c>
      <c r="K34" s="28" t="n">
        <v>-1833333.33</v>
      </c>
      <c r="L34" s="28" t="n">
        <v>-1866666.67</v>
      </c>
      <c r="M34" s="28" t="n">
        <v>-1900000</v>
      </c>
      <c r="N34" s="28" t="n">
        <v>-983333.33</v>
      </c>
      <c r="O34" s="28" t="n">
        <v>-1016666.67</v>
      </c>
      <c r="P34" s="28" t="n">
        <v>-1050000</v>
      </c>
    </row>
    <row r="35" customFormat="false" ht="15" hidden="false" customHeight="false" outlineLevel="0" collapsed="false">
      <c r="B35" s="29" t="n">
        <v>2835</v>
      </c>
      <c r="C35" s="30" t="s">
        <v>106</v>
      </c>
      <c r="D35" s="31" t="n">
        <v>-1500000</v>
      </c>
      <c r="E35" s="31" t="n">
        <v>-1548333.33</v>
      </c>
      <c r="F35" s="31" t="n">
        <v>-1596666.67</v>
      </c>
      <c r="G35" s="31" t="n">
        <v>-1645000</v>
      </c>
      <c r="H35" s="31" t="n">
        <v>-1693333.33</v>
      </c>
      <c r="I35" s="31" t="n">
        <v>-1741666.67</v>
      </c>
      <c r="J35" s="31" t="n">
        <v>-1790000</v>
      </c>
      <c r="K35" s="31" t="n">
        <v>-1838333.33</v>
      </c>
      <c r="L35" s="31" t="n">
        <v>-1886666.67</v>
      </c>
      <c r="M35" s="31" t="n">
        <v>-1935000</v>
      </c>
      <c r="N35" s="31" t="n">
        <v>-1983333.33</v>
      </c>
      <c r="O35" s="31" t="n">
        <v>-2031666.67</v>
      </c>
      <c r="P35" s="31" t="n">
        <v>-2080000</v>
      </c>
    </row>
    <row r="36" customFormat="false" ht="19.5" hidden="false" customHeight="true" outlineLevel="0" collapsed="false">
      <c r="B36" s="24"/>
      <c r="C36" s="24" t="s">
        <v>107</v>
      </c>
      <c r="D36" s="25" t="n">
        <f aca="false">SUM(D37:D51)</f>
        <v>51961367.5</v>
      </c>
      <c r="E36" s="25" t="n">
        <f aca="false">SUM(E37:E51)</f>
        <v>51017863.72</v>
      </c>
      <c r="F36" s="25" t="n">
        <f aca="false">SUM(F37:F51)</f>
        <v>50828438.83</v>
      </c>
      <c r="G36" s="25" t="n">
        <f aca="false">SUM(G37:G51)</f>
        <v>50968014.53</v>
      </c>
      <c r="H36" s="25" t="n">
        <f aca="false">SUM(H37:H51)</f>
        <v>51769295.86</v>
      </c>
      <c r="I36" s="25" t="n">
        <f aca="false">SUM(I37:I51)</f>
        <v>52926022.42</v>
      </c>
      <c r="J36" s="25" t="n">
        <f aca="false">SUM(J37:J51)</f>
        <v>54304843.87</v>
      </c>
      <c r="K36" s="25" t="n">
        <f aca="false">SUM(K37:K51)</f>
        <v>54080248.15</v>
      </c>
      <c r="L36" s="25" t="n">
        <f aca="false">SUM(L37:L51)</f>
        <v>48936616.32</v>
      </c>
      <c r="M36" s="25" t="n">
        <f aca="false">SUM(M37:M51)</f>
        <v>49053500.54</v>
      </c>
      <c r="N36" s="25" t="n">
        <f aca="false">SUM(N37:N51)</f>
        <v>52340754.46</v>
      </c>
      <c r="O36" s="25" t="n">
        <f aca="false">SUM(O37:O51)</f>
        <v>55039583.9</v>
      </c>
      <c r="P36" s="25" t="n">
        <f aca="false">SUM(P37:P51)</f>
        <v>56600208.13</v>
      </c>
    </row>
    <row r="37" customFormat="false" ht="15" hidden="false" customHeight="false" outlineLevel="0" collapsed="false">
      <c r="B37" s="29" t="n">
        <v>3111</v>
      </c>
      <c r="C37" s="30" t="s">
        <v>108</v>
      </c>
      <c r="D37" s="31" t="n">
        <v>0</v>
      </c>
      <c r="E37" s="31" t="n">
        <v>0</v>
      </c>
      <c r="F37" s="31" t="n">
        <v>0</v>
      </c>
      <c r="G37" s="31" t="n">
        <v>0</v>
      </c>
      <c r="H37" s="31" t="n">
        <v>0</v>
      </c>
      <c r="I37" s="31" t="n">
        <v>0</v>
      </c>
      <c r="J37" s="31" t="n">
        <v>0</v>
      </c>
      <c r="K37" s="31" t="n">
        <v>0</v>
      </c>
      <c r="L37" s="31" t="n">
        <v>0</v>
      </c>
      <c r="M37" s="31" t="n">
        <v>0</v>
      </c>
      <c r="N37" s="31" t="n">
        <v>0</v>
      </c>
      <c r="O37" s="31" t="n">
        <v>0</v>
      </c>
      <c r="P37" s="31" t="n">
        <v>0</v>
      </c>
    </row>
    <row r="38" customFormat="false" ht="15" hidden="false" customHeight="false" outlineLevel="0" collapsed="false">
      <c r="B38" s="26" t="n">
        <v>3121</v>
      </c>
      <c r="C38" s="27" t="s">
        <v>109</v>
      </c>
      <c r="D38" s="28" t="n">
        <v>7744000</v>
      </c>
      <c r="E38" s="28" t="n">
        <v>7920000</v>
      </c>
      <c r="F38" s="28" t="n">
        <v>8184000</v>
      </c>
      <c r="G38" s="28" t="n">
        <v>8448000</v>
      </c>
      <c r="H38" s="28" t="n">
        <v>8272000</v>
      </c>
      <c r="I38" s="28" t="n">
        <v>8360000</v>
      </c>
      <c r="J38" s="28" t="n">
        <v>8536000</v>
      </c>
      <c r="K38" s="28" t="n">
        <v>8712000</v>
      </c>
      <c r="L38" s="28" t="n">
        <v>9152000</v>
      </c>
      <c r="M38" s="28" t="n">
        <v>8624000</v>
      </c>
      <c r="N38" s="28" t="n">
        <v>8360000</v>
      </c>
      <c r="O38" s="28" t="n">
        <v>8184000</v>
      </c>
      <c r="P38" s="28" t="n">
        <v>8008000</v>
      </c>
    </row>
    <row r="39" customFormat="false" ht="15" hidden="false" customHeight="false" outlineLevel="0" collapsed="false">
      <c r="B39" s="29" t="n">
        <v>3122</v>
      </c>
      <c r="C39" s="30" t="s">
        <v>110</v>
      </c>
      <c r="D39" s="31" t="n">
        <v>1056000</v>
      </c>
      <c r="E39" s="31" t="n">
        <v>1080000</v>
      </c>
      <c r="F39" s="31" t="n">
        <v>1116000</v>
      </c>
      <c r="G39" s="31" t="n">
        <v>1152000</v>
      </c>
      <c r="H39" s="31" t="n">
        <v>1128000</v>
      </c>
      <c r="I39" s="31" t="n">
        <v>1140000</v>
      </c>
      <c r="J39" s="31" t="n">
        <v>1164000</v>
      </c>
      <c r="K39" s="31" t="n">
        <v>1188000</v>
      </c>
      <c r="L39" s="31" t="n">
        <v>1248000</v>
      </c>
      <c r="M39" s="31" t="n">
        <v>1176000</v>
      </c>
      <c r="N39" s="31" t="n">
        <v>1140000</v>
      </c>
      <c r="O39" s="31" t="n">
        <v>1116000</v>
      </c>
      <c r="P39" s="31" t="n">
        <v>1092000</v>
      </c>
    </row>
    <row r="40" customFormat="false" ht="15" hidden="false" customHeight="false" outlineLevel="0" collapsed="false">
      <c r="B40" s="26" t="n">
        <v>3131</v>
      </c>
      <c r="C40" s="27" t="s">
        <v>111</v>
      </c>
      <c r="D40" s="28" t="n">
        <v>3850000</v>
      </c>
      <c r="E40" s="28" t="n">
        <v>3905000</v>
      </c>
      <c r="F40" s="28" t="n">
        <v>4015000</v>
      </c>
      <c r="G40" s="28" t="n">
        <v>4125000</v>
      </c>
      <c r="H40" s="28" t="n">
        <v>4180000</v>
      </c>
      <c r="I40" s="28" t="n">
        <v>4290000</v>
      </c>
      <c r="J40" s="28" t="n">
        <v>4345000</v>
      </c>
      <c r="K40" s="28" t="n">
        <v>4510000</v>
      </c>
      <c r="L40" s="28" t="n">
        <v>4620000</v>
      </c>
      <c r="M40" s="28" t="n">
        <v>4565000</v>
      </c>
      <c r="N40" s="28" t="n">
        <v>4620000</v>
      </c>
      <c r="O40" s="28" t="n">
        <v>4730000</v>
      </c>
      <c r="P40" s="28" t="n">
        <v>4510000</v>
      </c>
    </row>
    <row r="41" customFormat="false" ht="15" hidden="false" customHeight="false" outlineLevel="0" collapsed="false">
      <c r="B41" s="29" t="n">
        <v>3151</v>
      </c>
      <c r="C41" s="30" t="s">
        <v>112</v>
      </c>
      <c r="D41" s="31" t="n">
        <v>3150000</v>
      </c>
      <c r="E41" s="31" t="n">
        <v>3195000</v>
      </c>
      <c r="F41" s="31" t="n">
        <v>3285000</v>
      </c>
      <c r="G41" s="31" t="n">
        <v>3375000</v>
      </c>
      <c r="H41" s="31" t="n">
        <v>3420000</v>
      </c>
      <c r="I41" s="31" t="n">
        <v>3510000</v>
      </c>
      <c r="J41" s="31" t="n">
        <v>3555000</v>
      </c>
      <c r="K41" s="31" t="n">
        <v>3690000</v>
      </c>
      <c r="L41" s="31" t="n">
        <v>3780000</v>
      </c>
      <c r="M41" s="31" t="n">
        <v>3735000</v>
      </c>
      <c r="N41" s="31" t="n">
        <v>3780000</v>
      </c>
      <c r="O41" s="31" t="n">
        <v>3870000</v>
      </c>
      <c r="P41" s="31" t="n">
        <v>3690000</v>
      </c>
    </row>
    <row r="42" customFormat="false" ht="15" hidden="false" customHeight="false" outlineLevel="0" collapsed="false">
      <c r="B42" s="26" t="n">
        <v>3411</v>
      </c>
      <c r="C42" s="27" t="s">
        <v>113</v>
      </c>
      <c r="D42" s="28" t="n">
        <v>792249.71</v>
      </c>
      <c r="E42" s="28" t="n">
        <v>819650.44</v>
      </c>
      <c r="F42" s="28" t="n">
        <v>787069.34</v>
      </c>
      <c r="G42" s="28" t="n">
        <v>749215.23</v>
      </c>
      <c r="H42" s="28" t="n">
        <v>725600.68</v>
      </c>
      <c r="I42" s="28" t="n">
        <v>807202.46</v>
      </c>
      <c r="J42" s="28" t="n">
        <v>729724.43</v>
      </c>
      <c r="K42" s="28" t="n">
        <v>770049.34</v>
      </c>
      <c r="L42" s="28" t="n">
        <v>748182.08</v>
      </c>
      <c r="M42" s="28" t="n">
        <v>813619.46</v>
      </c>
      <c r="N42" s="28" t="n">
        <v>831407.01</v>
      </c>
      <c r="O42" s="28" t="n">
        <v>862946.23</v>
      </c>
      <c r="P42" s="28" t="n">
        <v>806093.01</v>
      </c>
    </row>
    <row r="43" customFormat="false" ht="15" hidden="false" customHeight="false" outlineLevel="0" collapsed="false">
      <c r="B43" s="29" t="n">
        <v>3421</v>
      </c>
      <c r="C43" s="30" t="s">
        <v>114</v>
      </c>
      <c r="D43" s="31" t="n">
        <v>28719640</v>
      </c>
      <c r="E43" s="31" t="n">
        <v>27598160</v>
      </c>
      <c r="F43" s="31" t="n">
        <v>27061800</v>
      </c>
      <c r="G43" s="31" t="n">
        <v>28280800</v>
      </c>
      <c r="H43" s="31" t="n">
        <v>29158480</v>
      </c>
      <c r="I43" s="31" t="n">
        <v>29938640</v>
      </c>
      <c r="J43" s="31" t="n">
        <v>30572520</v>
      </c>
      <c r="K43" s="31" t="n">
        <v>29938640</v>
      </c>
      <c r="L43" s="31" t="n">
        <v>24770080</v>
      </c>
      <c r="M43" s="31" t="n">
        <v>24672560</v>
      </c>
      <c r="N43" s="31" t="n">
        <v>27890720</v>
      </c>
      <c r="O43" s="31" t="n">
        <v>30377480</v>
      </c>
      <c r="P43" s="31" t="n">
        <v>31986560</v>
      </c>
    </row>
    <row r="44" customFormat="false" ht="15" hidden="false" customHeight="false" outlineLevel="0" collapsed="false">
      <c r="B44" s="26" t="n">
        <v>3424</v>
      </c>
      <c r="C44" s="27" t="s">
        <v>115</v>
      </c>
      <c r="D44" s="28" t="n">
        <v>1400000</v>
      </c>
      <c r="E44" s="28" t="n">
        <v>1400000</v>
      </c>
      <c r="F44" s="28" t="n">
        <v>1400000</v>
      </c>
      <c r="G44" s="28" t="n">
        <v>1400000</v>
      </c>
      <c r="H44" s="28" t="n">
        <v>1400000</v>
      </c>
      <c r="I44" s="28" t="n">
        <v>1400000</v>
      </c>
      <c r="J44" s="28" t="n">
        <v>1400000</v>
      </c>
      <c r="K44" s="28" t="n">
        <v>1400000</v>
      </c>
      <c r="L44" s="28" t="n">
        <v>1400000</v>
      </c>
      <c r="M44" s="28" t="n">
        <v>1400000</v>
      </c>
      <c r="N44" s="28" t="n">
        <v>1400000</v>
      </c>
      <c r="O44" s="28" t="n">
        <v>1400000</v>
      </c>
      <c r="P44" s="28" t="n">
        <v>1400000</v>
      </c>
    </row>
    <row r="45" customFormat="false" ht="15" hidden="false" customHeight="false" outlineLevel="0" collapsed="false">
      <c r="B45" s="29" t="n">
        <v>3425</v>
      </c>
      <c r="C45" s="30" t="s">
        <v>116</v>
      </c>
      <c r="D45" s="31" t="n">
        <v>2497360</v>
      </c>
      <c r="E45" s="31" t="n">
        <v>2399840</v>
      </c>
      <c r="F45" s="31" t="n">
        <v>2353200</v>
      </c>
      <c r="G45" s="31" t="n">
        <v>2459200</v>
      </c>
      <c r="H45" s="31" t="n">
        <v>2535520</v>
      </c>
      <c r="I45" s="31" t="n">
        <v>2603360</v>
      </c>
      <c r="J45" s="31" t="n">
        <v>2658480</v>
      </c>
      <c r="K45" s="31" t="n">
        <v>2603360</v>
      </c>
      <c r="L45" s="31" t="n">
        <v>2153920</v>
      </c>
      <c r="M45" s="31" t="n">
        <v>2145440</v>
      </c>
      <c r="N45" s="31" t="n">
        <v>2425280</v>
      </c>
      <c r="O45" s="31" t="n">
        <v>2641520</v>
      </c>
      <c r="P45" s="31" t="n">
        <v>2781440</v>
      </c>
    </row>
    <row r="46" customFormat="false" ht="15" hidden="false" customHeight="false" outlineLevel="0" collapsed="false">
      <c r="B46" s="26" t="n">
        <v>3431</v>
      </c>
      <c r="C46" s="27" t="s">
        <v>117</v>
      </c>
      <c r="D46" s="28" t="n">
        <v>140065.22</v>
      </c>
      <c r="E46" s="28" t="n">
        <v>167081.31</v>
      </c>
      <c r="F46" s="28" t="n">
        <v>137127.63</v>
      </c>
      <c r="G46" s="28" t="n">
        <v>136599.35</v>
      </c>
      <c r="H46" s="28" t="n">
        <v>178467.75</v>
      </c>
      <c r="I46" s="28" t="n">
        <v>126310.07</v>
      </c>
      <c r="J46" s="28" t="n">
        <v>137417.79</v>
      </c>
      <c r="K46" s="28" t="n">
        <v>156419.43</v>
      </c>
      <c r="L46" s="28" t="n">
        <v>157794.96</v>
      </c>
      <c r="M46" s="28" t="n">
        <v>140577.2</v>
      </c>
      <c r="N46" s="28" t="n">
        <v>138003.36</v>
      </c>
      <c r="O46" s="28" t="n">
        <v>176022.58</v>
      </c>
      <c r="P46" s="28" t="n">
        <v>130809.61</v>
      </c>
    </row>
    <row r="47" customFormat="false" ht="15" hidden="false" customHeight="false" outlineLevel="0" collapsed="false">
      <c r="B47" s="29" t="n">
        <v>3453</v>
      </c>
      <c r="C47" s="30" t="s">
        <v>118</v>
      </c>
      <c r="D47" s="31" t="n">
        <v>2400000</v>
      </c>
      <c r="E47" s="31" t="n">
        <v>2400000</v>
      </c>
      <c r="F47" s="31" t="n">
        <v>2400000</v>
      </c>
      <c r="G47" s="31" t="n">
        <v>600000</v>
      </c>
      <c r="H47" s="31" t="n">
        <v>600000</v>
      </c>
      <c r="I47" s="31" t="n">
        <v>600000</v>
      </c>
      <c r="J47" s="31" t="n">
        <v>1200000</v>
      </c>
      <c r="K47" s="31" t="n">
        <v>1200000</v>
      </c>
      <c r="L47" s="31" t="n">
        <v>1200000</v>
      </c>
      <c r="M47" s="31" t="n">
        <v>1800000</v>
      </c>
      <c r="N47" s="31" t="n">
        <v>1800000</v>
      </c>
      <c r="O47" s="31" t="n">
        <v>1800000</v>
      </c>
      <c r="P47" s="31" t="n">
        <v>2400000</v>
      </c>
    </row>
    <row r="48" customFormat="false" ht="15" hidden="false" customHeight="false" outlineLevel="0" collapsed="false">
      <c r="B48" s="26" t="n">
        <v>3455</v>
      </c>
      <c r="C48" s="27" t="s">
        <v>119</v>
      </c>
      <c r="D48" s="28" t="n">
        <v>612052.57</v>
      </c>
      <c r="E48" s="28" t="n">
        <v>583131.97</v>
      </c>
      <c r="F48" s="28" t="n">
        <v>589241.86</v>
      </c>
      <c r="G48" s="28" t="n">
        <v>642199.95</v>
      </c>
      <c r="H48" s="28" t="n">
        <v>621227.43</v>
      </c>
      <c r="I48" s="28" t="n">
        <v>650509.89</v>
      </c>
      <c r="J48" s="28" t="n">
        <v>656701.65</v>
      </c>
      <c r="K48" s="28" t="n">
        <v>611779.38</v>
      </c>
      <c r="L48" s="28" t="n">
        <v>456639.28</v>
      </c>
      <c r="M48" s="28" t="n">
        <v>631303.88</v>
      </c>
      <c r="N48" s="28" t="n">
        <v>655344.09</v>
      </c>
      <c r="O48" s="28" t="n">
        <v>631615.09</v>
      </c>
      <c r="P48" s="28" t="n">
        <v>695305.51</v>
      </c>
    </row>
    <row r="49" customFormat="false" ht="15" hidden="false" customHeight="false" outlineLevel="0" collapsed="false">
      <c r="B49" s="29" t="n">
        <v>3488</v>
      </c>
      <c r="C49" s="30" t="s">
        <v>120</v>
      </c>
      <c r="D49" s="31" t="n">
        <v>300000</v>
      </c>
      <c r="E49" s="31" t="n">
        <v>300000</v>
      </c>
      <c r="F49" s="31" t="n">
        <v>300000</v>
      </c>
      <c r="G49" s="31" t="n">
        <v>300000</v>
      </c>
      <c r="H49" s="31" t="n">
        <v>300000</v>
      </c>
      <c r="I49" s="31" t="n">
        <v>300000</v>
      </c>
      <c r="J49" s="31" t="n">
        <v>300000</v>
      </c>
      <c r="K49" s="31" t="n">
        <v>300000</v>
      </c>
      <c r="L49" s="31" t="n">
        <v>300000</v>
      </c>
      <c r="M49" s="31" t="n">
        <v>300000</v>
      </c>
      <c r="N49" s="31" t="n">
        <v>300000</v>
      </c>
      <c r="O49" s="31" t="n">
        <v>300000</v>
      </c>
      <c r="P49" s="31" t="n">
        <v>300000</v>
      </c>
    </row>
    <row r="50" customFormat="false" ht="15" hidden="false" customHeight="false" outlineLevel="0" collapsed="false">
      <c r="B50" s="26" t="n">
        <v>3491</v>
      </c>
      <c r="C50" s="27" t="s">
        <v>121</v>
      </c>
      <c r="D50" s="28" t="n">
        <v>600000</v>
      </c>
      <c r="E50" s="28" t="n">
        <v>550000</v>
      </c>
      <c r="F50" s="28" t="n">
        <v>500000</v>
      </c>
      <c r="G50" s="28" t="n">
        <v>450000</v>
      </c>
      <c r="H50" s="28" t="n">
        <v>400000</v>
      </c>
      <c r="I50" s="28" t="n">
        <v>350000</v>
      </c>
      <c r="J50" s="28" t="n">
        <v>300000</v>
      </c>
      <c r="K50" s="28" t="n">
        <v>250000</v>
      </c>
      <c r="L50" s="28" t="n">
        <v>200000</v>
      </c>
      <c r="M50" s="28" t="n">
        <v>150000</v>
      </c>
      <c r="N50" s="28" t="n">
        <v>100000</v>
      </c>
      <c r="O50" s="28" t="n">
        <v>50000</v>
      </c>
      <c r="P50" s="28" t="n">
        <v>0</v>
      </c>
    </row>
    <row r="51" customFormat="false" ht="15" hidden="false" customHeight="false" outlineLevel="0" collapsed="false">
      <c r="B51" s="29" t="n">
        <v>3942</v>
      </c>
      <c r="C51" s="30" t="s">
        <v>122</v>
      </c>
      <c r="D51" s="31" t="n">
        <v>-1300000</v>
      </c>
      <c r="E51" s="31" t="n">
        <v>-1300000</v>
      </c>
      <c r="F51" s="31" t="n">
        <v>-1300000</v>
      </c>
      <c r="G51" s="31" t="n">
        <v>-1150000</v>
      </c>
      <c r="H51" s="31" t="n">
        <v>-1150000</v>
      </c>
      <c r="I51" s="31" t="n">
        <v>-1150000</v>
      </c>
      <c r="J51" s="31" t="n">
        <v>-1250000</v>
      </c>
      <c r="K51" s="31" t="n">
        <v>-1250000</v>
      </c>
      <c r="L51" s="31" t="n">
        <v>-1250000</v>
      </c>
      <c r="M51" s="31" t="n">
        <v>-1100000</v>
      </c>
      <c r="N51" s="31" t="n">
        <v>-1100000</v>
      </c>
      <c r="O51" s="31" t="n">
        <v>-1100000</v>
      </c>
      <c r="P51" s="31" t="n">
        <v>-1200000</v>
      </c>
    </row>
    <row r="52" customFormat="false" ht="19.5" hidden="false" customHeight="true" outlineLevel="0" collapsed="false">
      <c r="B52" s="24"/>
      <c r="C52" s="24" t="s">
        <v>123</v>
      </c>
      <c r="D52" s="25" t="n">
        <f aca="false">SUM(D53:D64)</f>
        <v>-28691010.4</v>
      </c>
      <c r="E52" s="25" t="n">
        <f aca="false">SUM(E53:E64)</f>
        <v>-28046444.53</v>
      </c>
      <c r="F52" s="25" t="n">
        <f aca="false">SUM(F53:F64)</f>
        <v>-28001979.43</v>
      </c>
      <c r="G52" s="25" t="n">
        <f aca="false">SUM(G53:G64)</f>
        <v>-26332245.5</v>
      </c>
      <c r="H52" s="25" t="n">
        <f aca="false">SUM(H53:H64)</f>
        <v>-31592258.06</v>
      </c>
      <c r="I52" s="25" t="n">
        <f aca="false">SUM(I53:I64)</f>
        <v>-30437684.08</v>
      </c>
      <c r="J52" s="25" t="n">
        <f aca="false">SUM(J53:J64)</f>
        <v>-28869492.28</v>
      </c>
      <c r="K52" s="25" t="n">
        <f aca="false">SUM(K53:K64)</f>
        <v>-28912641.75</v>
      </c>
      <c r="L52" s="25" t="n">
        <f aca="false">SUM(L53:L64)</f>
        <v>-25454462.01</v>
      </c>
      <c r="M52" s="25" t="n">
        <f aca="false">SUM(M53:M64)</f>
        <v>-27873570.42</v>
      </c>
      <c r="N52" s="25" t="n">
        <f aca="false">SUM(N53:N64)</f>
        <v>-27465296.48</v>
      </c>
      <c r="O52" s="25" t="n">
        <f aca="false">SUM(O53:O64)</f>
        <v>-29471748.57</v>
      </c>
      <c r="P52" s="25" t="n">
        <f aca="false">SUM(P53:P64)</f>
        <v>-31062347.95</v>
      </c>
    </row>
    <row r="53" customFormat="false" ht="15" hidden="false" customHeight="false" outlineLevel="0" collapsed="false">
      <c r="B53" s="29" t="n">
        <v>4411</v>
      </c>
      <c r="C53" s="30" t="s">
        <v>124</v>
      </c>
      <c r="D53" s="31" t="n">
        <v>-20286066.8</v>
      </c>
      <c r="E53" s="31" t="n">
        <v>-19764244</v>
      </c>
      <c r="F53" s="31" t="n">
        <v>-19370001.08</v>
      </c>
      <c r="G53" s="31" t="n">
        <v>-19905541.95</v>
      </c>
      <c r="H53" s="31" t="n">
        <v>-20458300.39</v>
      </c>
      <c r="I53" s="31" t="n">
        <v>-21093419.19</v>
      </c>
      <c r="J53" s="31" t="n">
        <v>-21478515.75</v>
      </c>
      <c r="K53" s="31" t="n">
        <v>-21161514.22</v>
      </c>
      <c r="L53" s="31" t="n">
        <v>-18263291.63</v>
      </c>
      <c r="M53" s="31" t="n">
        <v>-18097457.82</v>
      </c>
      <c r="N53" s="31" t="n">
        <v>-19472353.9</v>
      </c>
      <c r="O53" s="31" t="n">
        <v>-21205957.41</v>
      </c>
      <c r="P53" s="31" t="n">
        <v>-22046477.9</v>
      </c>
    </row>
    <row r="54" customFormat="false" ht="15" hidden="false" customHeight="false" outlineLevel="0" collapsed="false">
      <c r="B54" s="26" t="n">
        <v>4415</v>
      </c>
      <c r="C54" s="27" t="s">
        <v>125</v>
      </c>
      <c r="D54" s="28" t="n">
        <v>0</v>
      </c>
      <c r="E54" s="28" t="n">
        <v>0</v>
      </c>
      <c r="F54" s="28" t="n">
        <v>0</v>
      </c>
      <c r="G54" s="28" t="n">
        <v>0</v>
      </c>
      <c r="H54" s="28" t="n">
        <v>0</v>
      </c>
      <c r="I54" s="28" t="n">
        <v>0</v>
      </c>
      <c r="J54" s="28" t="n">
        <v>0</v>
      </c>
      <c r="K54" s="28" t="n">
        <v>0</v>
      </c>
      <c r="L54" s="28" t="n">
        <v>0</v>
      </c>
      <c r="M54" s="28" t="n">
        <v>0</v>
      </c>
      <c r="N54" s="28" t="n">
        <v>0</v>
      </c>
      <c r="O54" s="28" t="n">
        <v>0</v>
      </c>
      <c r="P54" s="28" t="n">
        <v>0</v>
      </c>
    </row>
    <row r="55" customFormat="false" ht="15" hidden="false" customHeight="false" outlineLevel="0" collapsed="false">
      <c r="B55" s="29" t="n">
        <v>4417</v>
      </c>
      <c r="C55" s="30" t="s">
        <v>126</v>
      </c>
      <c r="D55" s="31" t="n">
        <v>-865477.86</v>
      </c>
      <c r="E55" s="31" t="n">
        <v>-899342.42</v>
      </c>
      <c r="F55" s="31" t="n">
        <v>-932888.74</v>
      </c>
      <c r="G55" s="31" t="n">
        <v>-871045.23</v>
      </c>
      <c r="H55" s="31" t="n">
        <v>-921922.12</v>
      </c>
      <c r="I55" s="31" t="n">
        <v>-969219.02</v>
      </c>
      <c r="J55" s="31" t="n">
        <v>-822890.01</v>
      </c>
      <c r="K55" s="31" t="n">
        <v>-955303.95</v>
      </c>
      <c r="L55" s="31" t="n">
        <v>-840095.2</v>
      </c>
      <c r="M55" s="31" t="n">
        <v>-956986.18</v>
      </c>
      <c r="N55" s="31" t="n">
        <v>-833593.13</v>
      </c>
      <c r="O55" s="31" t="n">
        <v>-946838.88</v>
      </c>
      <c r="P55" s="31" t="n">
        <v>-973801.46</v>
      </c>
    </row>
    <row r="56" customFormat="false" ht="15" hidden="false" customHeight="false" outlineLevel="0" collapsed="false">
      <c r="B56" s="26" t="n">
        <v>4432</v>
      </c>
      <c r="C56" s="27" t="s">
        <v>127</v>
      </c>
      <c r="D56" s="28" t="n">
        <v>-305388.02</v>
      </c>
      <c r="E56" s="28" t="n">
        <v>-248788.65</v>
      </c>
      <c r="F56" s="28" t="n">
        <v>-248054.06</v>
      </c>
      <c r="G56" s="28" t="n">
        <v>-251671.48</v>
      </c>
      <c r="H56" s="28" t="n">
        <v>-248835.22</v>
      </c>
      <c r="I56" s="28" t="n">
        <v>-253050.46</v>
      </c>
      <c r="J56" s="28" t="n">
        <v>-250362.66</v>
      </c>
      <c r="K56" s="28" t="n">
        <v>-249540.69</v>
      </c>
      <c r="L56" s="28" t="n">
        <v>-232154.58</v>
      </c>
      <c r="M56" s="28" t="n">
        <v>-253138.6</v>
      </c>
      <c r="N56" s="28" t="n">
        <v>-253479.33</v>
      </c>
      <c r="O56" s="28" t="n">
        <v>-250253.22</v>
      </c>
      <c r="P56" s="28" t="n">
        <v>-320671.04</v>
      </c>
    </row>
    <row r="57" customFormat="false" ht="15" hidden="false" customHeight="false" outlineLevel="0" collapsed="false">
      <c r="B57" s="29" t="n">
        <v>4441</v>
      </c>
      <c r="C57" s="30" t="s">
        <v>128</v>
      </c>
      <c r="D57" s="31" t="n">
        <v>-802015.95</v>
      </c>
      <c r="E57" s="31" t="n">
        <v>-644811.89</v>
      </c>
      <c r="F57" s="31" t="n">
        <v>-657138.23</v>
      </c>
      <c r="G57" s="31" t="n">
        <v>-655904.03</v>
      </c>
      <c r="H57" s="31" t="n">
        <v>-658789.09</v>
      </c>
      <c r="I57" s="31" t="n">
        <v>-658525.49</v>
      </c>
      <c r="J57" s="31" t="n">
        <v>-656297.61</v>
      </c>
      <c r="K57" s="31" t="n">
        <v>-653666.03</v>
      </c>
      <c r="L57" s="31" t="n">
        <v>-609036.36</v>
      </c>
      <c r="M57" s="31" t="n">
        <v>-659998.74</v>
      </c>
      <c r="N57" s="31" t="n">
        <v>-656386.43</v>
      </c>
      <c r="O57" s="31" t="n">
        <v>-653356.43</v>
      </c>
      <c r="P57" s="31" t="n">
        <v>-836089.67</v>
      </c>
    </row>
    <row r="58" customFormat="false" ht="15" hidden="false" customHeight="false" outlineLevel="0" collapsed="false">
      <c r="B58" s="26" t="n">
        <v>4443</v>
      </c>
      <c r="C58" s="27" t="s">
        <v>129</v>
      </c>
      <c r="D58" s="28" t="n">
        <v>-200000</v>
      </c>
      <c r="E58" s="28" t="n">
        <v>-200000</v>
      </c>
      <c r="F58" s="28" t="n">
        <v>-200000</v>
      </c>
      <c r="G58" s="28" t="n">
        <v>-200000</v>
      </c>
      <c r="H58" s="28" t="n">
        <v>-200000</v>
      </c>
      <c r="I58" s="28" t="n">
        <v>-200000</v>
      </c>
      <c r="J58" s="28" t="n">
        <v>-200000</v>
      </c>
      <c r="K58" s="28" t="n">
        <v>-200000</v>
      </c>
      <c r="L58" s="28" t="n">
        <v>-200000</v>
      </c>
      <c r="M58" s="28" t="n">
        <v>-200000</v>
      </c>
      <c r="N58" s="28" t="n">
        <v>-200000</v>
      </c>
      <c r="O58" s="28" t="n">
        <v>-200000</v>
      </c>
      <c r="P58" s="28" t="n">
        <v>-200000</v>
      </c>
    </row>
    <row r="59" customFormat="false" ht="15" hidden="false" customHeight="false" outlineLevel="0" collapsed="false">
      <c r="B59" s="29" t="n">
        <v>4452</v>
      </c>
      <c r="C59" s="30" t="s">
        <v>130</v>
      </c>
      <c r="D59" s="31" t="n">
        <v>-458082.03</v>
      </c>
      <c r="E59" s="31" t="n">
        <v>-373182.98</v>
      </c>
      <c r="F59" s="31" t="n">
        <v>-372081.09</v>
      </c>
      <c r="G59" s="31" t="n">
        <v>-377507.23</v>
      </c>
      <c r="H59" s="31" t="n">
        <v>-373252.84</v>
      </c>
      <c r="I59" s="31" t="n">
        <v>-379575.69</v>
      </c>
      <c r="J59" s="31" t="n">
        <v>-375543.99</v>
      </c>
      <c r="K59" s="31" t="n">
        <v>-374311.04</v>
      </c>
      <c r="L59" s="31" t="n">
        <v>-348231.87</v>
      </c>
      <c r="M59" s="31" t="n">
        <v>-379707.9</v>
      </c>
      <c r="N59" s="31" t="n">
        <v>-380218.99</v>
      </c>
      <c r="O59" s="31" t="n">
        <v>-375379.82</v>
      </c>
      <c r="P59" s="31" t="n">
        <v>-481006.56</v>
      </c>
    </row>
    <row r="60" customFormat="false" ht="15" hidden="false" customHeight="false" outlineLevel="0" collapsed="false">
      <c r="B60" s="26" t="n">
        <v>4453</v>
      </c>
      <c r="C60" s="27" t="s">
        <v>131</v>
      </c>
      <c r="D60" s="28" t="n">
        <v>-2500000</v>
      </c>
      <c r="E60" s="28" t="n">
        <v>-2683917.58</v>
      </c>
      <c r="F60" s="28" t="n">
        <v>-2950589.52</v>
      </c>
      <c r="G60" s="28" t="n">
        <v>-717122.71</v>
      </c>
      <c r="H60" s="28" t="n">
        <v>-931022.35</v>
      </c>
      <c r="I60" s="28" t="n">
        <v>-1288762.83</v>
      </c>
      <c r="J60" s="28" t="n">
        <v>-1709233.63</v>
      </c>
      <c r="K60" s="28" t="n">
        <v>-2005439.22</v>
      </c>
      <c r="L60" s="28" t="n">
        <v>-1906068.09</v>
      </c>
      <c r="M60" s="28" t="n">
        <v>-1995517.95</v>
      </c>
      <c r="N60" s="28" t="n">
        <v>-2285155.43</v>
      </c>
      <c r="O60" s="28" t="n">
        <v>-2505897.11</v>
      </c>
      <c r="P60" s="28" t="n">
        <v>-2740000</v>
      </c>
    </row>
    <row r="61" customFormat="false" ht="15" hidden="false" customHeight="false" outlineLevel="0" collapsed="false">
      <c r="B61" s="29" t="n">
        <v>4455</v>
      </c>
      <c r="C61" s="30" t="s">
        <v>132</v>
      </c>
      <c r="D61" s="31" t="n">
        <v>-673979.74</v>
      </c>
      <c r="E61" s="31" t="n">
        <v>-632157.01</v>
      </c>
      <c r="F61" s="31" t="n">
        <v>-671226.71</v>
      </c>
      <c r="G61" s="31" t="n">
        <v>-753452.87</v>
      </c>
      <c r="H61" s="31" t="n">
        <v>-700136.05</v>
      </c>
      <c r="I61" s="31" t="n">
        <v>-745131.4</v>
      </c>
      <c r="J61" s="31" t="n">
        <v>-776648.63</v>
      </c>
      <c r="K61" s="31" t="n">
        <v>-712866.6</v>
      </c>
      <c r="L61" s="31" t="n">
        <v>-455584.28</v>
      </c>
      <c r="M61" s="31" t="n">
        <v>-730763.23</v>
      </c>
      <c r="N61" s="31" t="n">
        <v>-784109.27</v>
      </c>
      <c r="O61" s="31" t="n">
        <v>-734065.7</v>
      </c>
      <c r="P61" s="31" t="n">
        <v>-864301.32</v>
      </c>
    </row>
    <row r="62" customFormat="false" ht="15" hidden="false" customHeight="false" outlineLevel="0" collapsed="false">
      <c r="B62" s="26" t="n">
        <v>4463</v>
      </c>
      <c r="C62" s="27" t="s">
        <v>133</v>
      </c>
      <c r="D62" s="28" t="n">
        <v>-2000000</v>
      </c>
      <c r="E62" s="28" t="n">
        <v>-2000000</v>
      </c>
      <c r="F62" s="28" t="n">
        <v>-2000000</v>
      </c>
      <c r="G62" s="28" t="n">
        <v>-2000000</v>
      </c>
      <c r="H62" s="28" t="n">
        <v>-2000000</v>
      </c>
      <c r="I62" s="28" t="n">
        <v>-2000000</v>
      </c>
      <c r="J62" s="28" t="n">
        <v>-2000000</v>
      </c>
      <c r="K62" s="28" t="n">
        <v>-2000000</v>
      </c>
      <c r="L62" s="28" t="n">
        <v>-2000000</v>
      </c>
      <c r="M62" s="28" t="n">
        <v>-2000000</v>
      </c>
      <c r="N62" s="28" t="n">
        <v>-2000000</v>
      </c>
      <c r="O62" s="28" t="n">
        <v>-2000000</v>
      </c>
      <c r="P62" s="28" t="n">
        <v>-2000000</v>
      </c>
    </row>
    <row r="63" customFormat="false" ht="15" hidden="false" customHeight="false" outlineLevel="0" collapsed="false">
      <c r="B63" s="29" t="n">
        <v>4481</v>
      </c>
      <c r="C63" s="30" t="s">
        <v>134</v>
      </c>
      <c r="D63" s="31" t="n">
        <v>-300000</v>
      </c>
      <c r="E63" s="31" t="n">
        <v>-300000</v>
      </c>
      <c r="F63" s="31" t="n">
        <v>-300000</v>
      </c>
      <c r="G63" s="31" t="n">
        <v>-300000</v>
      </c>
      <c r="H63" s="31" t="n">
        <v>-4800000</v>
      </c>
      <c r="I63" s="31" t="n">
        <v>-2550000</v>
      </c>
      <c r="J63" s="31" t="n">
        <v>-300000</v>
      </c>
      <c r="K63" s="31" t="n">
        <v>-300000</v>
      </c>
      <c r="L63" s="31" t="n">
        <v>-300000</v>
      </c>
      <c r="M63" s="31" t="n">
        <v>-2300000</v>
      </c>
      <c r="N63" s="31" t="n">
        <v>-300000</v>
      </c>
      <c r="O63" s="31" t="n">
        <v>-300000</v>
      </c>
      <c r="P63" s="31" t="n">
        <v>-300000</v>
      </c>
    </row>
    <row r="64" customFormat="false" ht="15" hidden="false" customHeight="false" outlineLevel="0" collapsed="false">
      <c r="B64" s="26" t="n">
        <v>4491</v>
      </c>
      <c r="C64" s="27" t="s">
        <v>135</v>
      </c>
      <c r="D64" s="28" t="n">
        <v>-300000</v>
      </c>
      <c r="E64" s="28" t="n">
        <v>-300000</v>
      </c>
      <c r="F64" s="28" t="n">
        <v>-300000</v>
      </c>
      <c r="G64" s="28" t="n">
        <v>-300000</v>
      </c>
      <c r="H64" s="28" t="n">
        <v>-300000</v>
      </c>
      <c r="I64" s="28" t="n">
        <v>-300000</v>
      </c>
      <c r="J64" s="28" t="n">
        <v>-300000</v>
      </c>
      <c r="K64" s="28" t="n">
        <v>-300000</v>
      </c>
      <c r="L64" s="28" t="n">
        <v>-300000</v>
      </c>
      <c r="M64" s="28" t="n">
        <v>-300000</v>
      </c>
      <c r="N64" s="28" t="n">
        <v>-300000</v>
      </c>
      <c r="O64" s="28" t="n">
        <v>-300000</v>
      </c>
      <c r="P64" s="28" t="n">
        <v>-300000</v>
      </c>
    </row>
    <row r="65" customFormat="false" ht="19.5" hidden="false" customHeight="true" outlineLevel="0" collapsed="false">
      <c r="B65" s="24"/>
      <c r="C65" s="24" t="s">
        <v>136</v>
      </c>
      <c r="D65" s="25" t="n">
        <f aca="false">SUM(D66:D69)</f>
        <v>5076482.44</v>
      </c>
      <c r="E65" s="25" t="n">
        <f aca="false">SUM(E66:E69)</f>
        <v>6284424.04</v>
      </c>
      <c r="F65" s="25" t="n">
        <f aca="false">SUM(F66:F69)</f>
        <v>7669404.96</v>
      </c>
      <c r="G65" s="25" t="n">
        <f aca="false">SUM(G66:G69)</f>
        <v>7099561.45</v>
      </c>
      <c r="H65" s="25" t="n">
        <f aca="false">SUM(H66:H69)</f>
        <v>8087224.55</v>
      </c>
      <c r="I65" s="25" t="n">
        <f aca="false">SUM(I66:I69)</f>
        <v>7380219.31</v>
      </c>
      <c r="J65" s="25" t="n">
        <f aca="false">SUM(J66:J69)</f>
        <v>6288422.57</v>
      </c>
      <c r="K65" s="25" t="n">
        <f aca="false">SUM(K66:K69)</f>
        <v>7914323.47</v>
      </c>
      <c r="L65" s="25" t="n">
        <f aca="false">SUM(L66:L69)</f>
        <v>9375624.38</v>
      </c>
      <c r="M65" s="25" t="n">
        <f aca="false">SUM(M66:M69)</f>
        <v>10208981.33</v>
      </c>
      <c r="N65" s="25" t="n">
        <f aca="false">SUM(N66:N69)</f>
        <v>8095336.72</v>
      </c>
      <c r="O65" s="25" t="n">
        <f aca="false">SUM(O66:O69)</f>
        <v>8459259.47</v>
      </c>
      <c r="P65" s="25" t="n">
        <f aca="false">SUM(P66:P69)</f>
        <v>9598979.49</v>
      </c>
    </row>
    <row r="66" customFormat="false" ht="15" hidden="false" customHeight="false" outlineLevel="0" collapsed="false">
      <c r="B66" s="26" t="n">
        <v>5111</v>
      </c>
      <c r="C66" s="27" t="s">
        <v>137</v>
      </c>
      <c r="D66" s="28" t="n">
        <v>0</v>
      </c>
      <c r="E66" s="28" t="n">
        <v>0</v>
      </c>
      <c r="F66" s="28" t="n">
        <v>0</v>
      </c>
      <c r="G66" s="28" t="n">
        <v>0</v>
      </c>
      <c r="H66" s="28" t="n">
        <v>0</v>
      </c>
      <c r="I66" s="28" t="n">
        <v>0</v>
      </c>
      <c r="J66" s="28" t="n">
        <v>0</v>
      </c>
      <c r="K66" s="28" t="n">
        <v>0</v>
      </c>
      <c r="L66" s="28" t="n">
        <v>0</v>
      </c>
      <c r="M66" s="28" t="n">
        <v>0</v>
      </c>
      <c r="N66" s="28" t="n">
        <v>0</v>
      </c>
      <c r="O66" s="28" t="n">
        <v>0</v>
      </c>
      <c r="P66" s="28" t="n">
        <v>0</v>
      </c>
    </row>
    <row r="67" customFormat="false" ht="15" hidden="false" customHeight="false" outlineLevel="0" collapsed="false">
      <c r="B67" s="29" t="n">
        <v>5141</v>
      </c>
      <c r="C67" s="30" t="s">
        <v>138</v>
      </c>
      <c r="D67" s="31" t="n">
        <v>10026482.44</v>
      </c>
      <c r="E67" s="31" t="n">
        <v>11234424.04</v>
      </c>
      <c r="F67" s="31" t="n">
        <v>12619404.96</v>
      </c>
      <c r="G67" s="31" t="n">
        <v>12049561.45</v>
      </c>
      <c r="H67" s="31" t="n">
        <v>13037224.55</v>
      </c>
      <c r="I67" s="31" t="n">
        <v>12330219.31</v>
      </c>
      <c r="J67" s="31" t="n">
        <v>11238422.57</v>
      </c>
      <c r="K67" s="31" t="n">
        <v>13864323.47</v>
      </c>
      <c r="L67" s="31" t="n">
        <v>17325624.38</v>
      </c>
      <c r="M67" s="31" t="n">
        <v>16158981.33</v>
      </c>
      <c r="N67" s="31" t="n">
        <v>13045336.72</v>
      </c>
      <c r="O67" s="31" t="n">
        <v>13409259.47</v>
      </c>
      <c r="P67" s="31" t="n">
        <v>14548979.49</v>
      </c>
    </row>
    <row r="68" customFormat="false" ht="15" hidden="false" customHeight="false" outlineLevel="0" collapsed="false">
      <c r="B68" s="26" t="n">
        <v>5161</v>
      </c>
      <c r="C68" s="27" t="s">
        <v>139</v>
      </c>
      <c r="D68" s="28" t="n">
        <v>50000</v>
      </c>
      <c r="E68" s="28" t="n">
        <v>50000</v>
      </c>
      <c r="F68" s="28" t="n">
        <v>50000</v>
      </c>
      <c r="G68" s="28" t="n">
        <v>50000</v>
      </c>
      <c r="H68" s="28" t="n">
        <v>50000</v>
      </c>
      <c r="I68" s="28" t="n">
        <v>50000</v>
      </c>
      <c r="J68" s="28" t="n">
        <v>50000</v>
      </c>
      <c r="K68" s="28" t="n">
        <v>50000</v>
      </c>
      <c r="L68" s="28" t="n">
        <v>50000</v>
      </c>
      <c r="M68" s="28" t="n">
        <v>50000</v>
      </c>
      <c r="N68" s="28" t="n">
        <v>50000</v>
      </c>
      <c r="O68" s="28" t="n">
        <v>50000</v>
      </c>
      <c r="P68" s="28" t="n">
        <v>50000</v>
      </c>
    </row>
    <row r="69" customFormat="false" ht="15" hidden="false" customHeight="false" outlineLevel="0" collapsed="false">
      <c r="B69" s="29" t="n">
        <v>5530</v>
      </c>
      <c r="C69" s="30" t="s">
        <v>140</v>
      </c>
      <c r="D69" s="31" t="n">
        <v>-5000000</v>
      </c>
      <c r="E69" s="31" t="n">
        <v>-5000000</v>
      </c>
      <c r="F69" s="31" t="n">
        <v>-5000000</v>
      </c>
      <c r="G69" s="31" t="n">
        <v>-5000000</v>
      </c>
      <c r="H69" s="31" t="n">
        <v>-5000000</v>
      </c>
      <c r="I69" s="31" t="n">
        <v>-5000000</v>
      </c>
      <c r="J69" s="31" t="n">
        <v>-5000000</v>
      </c>
      <c r="K69" s="31" t="n">
        <v>-6000000</v>
      </c>
      <c r="L69" s="31" t="n">
        <v>-8000000</v>
      </c>
      <c r="M69" s="31" t="n">
        <v>-6000000</v>
      </c>
      <c r="N69" s="31" t="n">
        <v>-5000000</v>
      </c>
      <c r="O69" s="31" t="n">
        <v>-5000000</v>
      </c>
      <c r="P69" s="31" t="n">
        <v>-5000000</v>
      </c>
    </row>
    <row r="70" customFormat="false" ht="19.5" hidden="false" customHeight="true" outlineLevel="0" collapsed="false">
      <c r="B70" s="24"/>
      <c r="C70" s="24" t="s">
        <v>141</v>
      </c>
      <c r="D70" s="25" t="n">
        <f aca="false">SUM(D71:D110)</f>
        <v>11585422.56</v>
      </c>
      <c r="E70" s="25" t="n">
        <f aca="false">SUM(E71:E110)</f>
        <v>10355578.93</v>
      </c>
      <c r="F70" s="25" t="n">
        <f aca="false">SUM(F71:F110)</f>
        <v>10505032.21</v>
      </c>
      <c r="G70" s="25" t="n">
        <f aca="false">SUM(G71:G110)</f>
        <v>11796923.17</v>
      </c>
      <c r="H70" s="25" t="n">
        <f aca="false">SUM(H71:H110)</f>
        <v>11367193.28</v>
      </c>
      <c r="I70" s="25" t="n">
        <f aca="false">SUM(I71:I110)</f>
        <v>11572309.32</v>
      </c>
      <c r="J70" s="25" t="n">
        <f aca="false">SUM(J71:J110)</f>
        <v>11681670.06</v>
      </c>
      <c r="K70" s="25" t="n">
        <f aca="false">SUM(K71:K110)</f>
        <v>10897677.76</v>
      </c>
      <c r="L70" s="25" t="n">
        <f aca="false">SUM(L71:L110)</f>
        <v>8125274.09</v>
      </c>
      <c r="M70" s="25" t="n">
        <f aca="false">SUM(M71:M110)</f>
        <v>12015007.28</v>
      </c>
      <c r="N70" s="25" t="n">
        <f aca="false">SUM(N71:N110)</f>
        <v>12234813.21</v>
      </c>
      <c r="O70" s="25" t="n">
        <f aca="false">SUM(O71:O110)</f>
        <v>11830076.05</v>
      </c>
      <c r="P70" s="25" t="n">
        <f aca="false">SUM(P71:P110)</f>
        <v>13228444.48</v>
      </c>
    </row>
    <row r="71" customFormat="false" ht="15" hidden="false" customHeight="false" outlineLevel="0" collapsed="false">
      <c r="B71" s="29" t="n">
        <v>6111</v>
      </c>
      <c r="C71" s="30" t="s">
        <v>142</v>
      </c>
      <c r="D71" s="31" t="n">
        <v>33756.48</v>
      </c>
      <c r="E71" s="31" t="n">
        <v>32185.14</v>
      </c>
      <c r="F71" s="31" t="n">
        <v>33236.86</v>
      </c>
      <c r="G71" s="31" t="n">
        <v>37072.63</v>
      </c>
      <c r="H71" s="31" t="n">
        <v>35194.96</v>
      </c>
      <c r="I71" s="31" t="n">
        <v>37313.05</v>
      </c>
      <c r="J71" s="31" t="n">
        <v>37801.13</v>
      </c>
      <c r="K71" s="31" t="n">
        <v>34094.72</v>
      </c>
      <c r="L71" s="31" t="n">
        <v>21714.83</v>
      </c>
      <c r="M71" s="31" t="n">
        <v>35368.06</v>
      </c>
      <c r="N71" s="31" t="n">
        <v>37930.71</v>
      </c>
      <c r="O71" s="31" t="n">
        <v>36328.78</v>
      </c>
      <c r="P71" s="31" t="n">
        <v>41759.13</v>
      </c>
    </row>
    <row r="72" customFormat="false" ht="15" hidden="false" customHeight="false" outlineLevel="0" collapsed="false">
      <c r="B72" s="26" t="n">
        <v>6114</v>
      </c>
      <c r="C72" s="27" t="s">
        <v>143</v>
      </c>
      <c r="D72" s="28" t="n">
        <v>0</v>
      </c>
      <c r="E72" s="28" t="n">
        <v>0</v>
      </c>
      <c r="F72" s="28" t="n">
        <v>0</v>
      </c>
      <c r="G72" s="28" t="n">
        <v>0</v>
      </c>
      <c r="H72" s="28" t="n">
        <v>0</v>
      </c>
      <c r="I72" s="28" t="n">
        <v>0</v>
      </c>
      <c r="J72" s="28" t="n">
        <v>0</v>
      </c>
      <c r="K72" s="28" t="n">
        <v>0</v>
      </c>
      <c r="L72" s="28" t="n">
        <v>0</v>
      </c>
      <c r="M72" s="28" t="n">
        <v>0</v>
      </c>
      <c r="N72" s="28" t="n">
        <v>0</v>
      </c>
      <c r="O72" s="28" t="n">
        <v>0</v>
      </c>
      <c r="P72" s="28" t="n">
        <v>0</v>
      </c>
    </row>
    <row r="73" customFormat="false" ht="15" hidden="false" customHeight="false" outlineLevel="0" collapsed="false">
      <c r="B73" s="29" t="n">
        <v>6121</v>
      </c>
      <c r="C73" s="30" t="s">
        <v>144</v>
      </c>
      <c r="D73" s="31" t="n">
        <v>4559807.05</v>
      </c>
      <c r="E73" s="31" t="n">
        <v>4214345.77</v>
      </c>
      <c r="F73" s="31" t="n">
        <v>4361758.36</v>
      </c>
      <c r="G73" s="31" t="n">
        <v>4792541.22</v>
      </c>
      <c r="H73" s="31" t="n">
        <v>4664646.61</v>
      </c>
      <c r="I73" s="31" t="n">
        <v>4950931.15</v>
      </c>
      <c r="J73" s="31" t="n">
        <v>5064270.19</v>
      </c>
      <c r="K73" s="31" t="n">
        <v>4519129.34</v>
      </c>
      <c r="L73" s="31" t="n">
        <v>2936664.88</v>
      </c>
      <c r="M73" s="31" t="n">
        <v>4765506.85</v>
      </c>
      <c r="N73" s="31" t="n">
        <v>4950165.34</v>
      </c>
      <c r="O73" s="31" t="n">
        <v>4755522.8</v>
      </c>
      <c r="P73" s="31" t="n">
        <v>5424517.47</v>
      </c>
    </row>
    <row r="74" customFormat="false" ht="15" hidden="false" customHeight="false" outlineLevel="0" collapsed="false">
      <c r="B74" s="26" t="n">
        <v>6122</v>
      </c>
      <c r="C74" s="27" t="s">
        <v>145</v>
      </c>
      <c r="D74" s="28" t="n">
        <v>172657.65</v>
      </c>
      <c r="E74" s="28" t="n">
        <v>165696.6</v>
      </c>
      <c r="F74" s="28" t="n">
        <v>166695.52</v>
      </c>
      <c r="G74" s="28" t="n">
        <v>183675.99</v>
      </c>
      <c r="H74" s="28" t="n">
        <v>173003.88</v>
      </c>
      <c r="I74" s="28" t="n">
        <v>183737.28</v>
      </c>
      <c r="J74" s="28" t="n">
        <v>186651.33</v>
      </c>
      <c r="K74" s="28" t="n">
        <v>170042.9</v>
      </c>
      <c r="L74" s="28" t="n">
        <v>131312.85</v>
      </c>
      <c r="M74" s="28" t="n">
        <v>175701.48</v>
      </c>
      <c r="N74" s="28" t="n">
        <v>186725.77</v>
      </c>
      <c r="O74" s="28" t="n">
        <v>181793.98</v>
      </c>
      <c r="P74" s="28" t="n">
        <v>194962.43</v>
      </c>
    </row>
    <row r="75" customFormat="false" ht="15" hidden="false" customHeight="false" outlineLevel="0" collapsed="false">
      <c r="B75" s="29" t="n">
        <v>6123</v>
      </c>
      <c r="C75" s="30" t="s">
        <v>146</v>
      </c>
      <c r="D75" s="31" t="n">
        <v>48529.52</v>
      </c>
      <c r="E75" s="31" t="n">
        <v>45084.59</v>
      </c>
      <c r="F75" s="31" t="n">
        <v>47091.26</v>
      </c>
      <c r="G75" s="31" t="n">
        <v>52933.38</v>
      </c>
      <c r="H75" s="31" t="n">
        <v>50801.91</v>
      </c>
      <c r="I75" s="31" t="n">
        <v>53523.1</v>
      </c>
      <c r="J75" s="31" t="n">
        <v>54184.82</v>
      </c>
      <c r="K75" s="31" t="n">
        <v>48400.03</v>
      </c>
      <c r="L75" s="31" t="n">
        <v>31697.49</v>
      </c>
      <c r="M75" s="31" t="n">
        <v>50741.03</v>
      </c>
      <c r="N75" s="31" t="n">
        <v>54456.53</v>
      </c>
      <c r="O75" s="31" t="n">
        <v>51918.95</v>
      </c>
      <c r="P75" s="31" t="n">
        <v>59166.92</v>
      </c>
    </row>
    <row r="76" customFormat="false" ht="15" hidden="false" customHeight="false" outlineLevel="0" collapsed="false">
      <c r="B76" s="26" t="n">
        <v>6124</v>
      </c>
      <c r="C76" s="27" t="s">
        <v>147</v>
      </c>
      <c r="D76" s="28" t="n">
        <v>-100000</v>
      </c>
      <c r="E76" s="28" t="n">
        <v>-200000</v>
      </c>
      <c r="F76" s="28" t="n">
        <v>-300000</v>
      </c>
      <c r="G76" s="28" t="n">
        <v>-300000</v>
      </c>
      <c r="H76" s="28" t="n">
        <v>200000</v>
      </c>
      <c r="I76" s="28" t="n">
        <v>-100000</v>
      </c>
      <c r="J76" s="28" t="n">
        <v>-200000</v>
      </c>
      <c r="K76" s="28" t="n">
        <v>-200000</v>
      </c>
      <c r="L76" s="28" t="n">
        <v>-500000</v>
      </c>
      <c r="M76" s="28" t="n">
        <v>600000</v>
      </c>
      <c r="N76" s="28" t="n">
        <v>300000</v>
      </c>
      <c r="O76" s="28" t="n">
        <v>200000</v>
      </c>
      <c r="P76" s="28" t="n">
        <v>200000</v>
      </c>
    </row>
    <row r="77" customFormat="false" ht="15" hidden="false" customHeight="false" outlineLevel="0" collapsed="false">
      <c r="B77" s="29" t="n">
        <v>6125</v>
      </c>
      <c r="C77" s="30" t="s">
        <v>148</v>
      </c>
      <c r="D77" s="31" t="n">
        <v>245521.12</v>
      </c>
      <c r="E77" s="31" t="n">
        <v>236099.08</v>
      </c>
      <c r="F77" s="31" t="n">
        <v>238396.71</v>
      </c>
      <c r="G77" s="31" t="n">
        <v>259645.61</v>
      </c>
      <c r="H77" s="31" t="n">
        <v>248050.63</v>
      </c>
      <c r="I77" s="31" t="n">
        <v>257421.83</v>
      </c>
      <c r="J77" s="31" t="n">
        <v>260668.32</v>
      </c>
      <c r="K77" s="31" t="n">
        <v>248001.87</v>
      </c>
      <c r="L77" s="31" t="n">
        <v>201907.75</v>
      </c>
      <c r="M77" s="31" t="n">
        <v>250377.23</v>
      </c>
      <c r="N77" s="31" t="n">
        <v>262349.22</v>
      </c>
      <c r="O77" s="31" t="n">
        <v>258871.89</v>
      </c>
      <c r="P77" s="31" t="n">
        <v>278209.84</v>
      </c>
    </row>
    <row r="78" customFormat="false" ht="15" hidden="false" customHeight="false" outlineLevel="0" collapsed="false">
      <c r="B78" s="26" t="n">
        <v>6126</v>
      </c>
      <c r="C78" s="27" t="s">
        <v>149</v>
      </c>
      <c r="D78" s="28" t="n">
        <v>99161.26</v>
      </c>
      <c r="E78" s="28" t="n">
        <v>90375.66</v>
      </c>
      <c r="F78" s="28" t="n">
        <v>96407.02</v>
      </c>
      <c r="G78" s="28" t="n">
        <v>104515.76</v>
      </c>
      <c r="H78" s="28" t="n">
        <v>101935.95</v>
      </c>
      <c r="I78" s="28" t="n">
        <v>106891.1</v>
      </c>
      <c r="J78" s="28" t="n">
        <v>107229.9</v>
      </c>
      <c r="K78" s="28" t="n">
        <v>98480.6</v>
      </c>
      <c r="L78" s="28" t="n">
        <v>61716.09</v>
      </c>
      <c r="M78" s="28" t="n">
        <v>101368.07</v>
      </c>
      <c r="N78" s="28" t="n">
        <v>107958.51</v>
      </c>
      <c r="O78" s="28" t="n">
        <v>105588.85</v>
      </c>
      <c r="P78" s="28" t="n">
        <v>117532.49</v>
      </c>
    </row>
    <row r="79" customFormat="false" ht="15" hidden="false" customHeight="false" outlineLevel="0" collapsed="false">
      <c r="B79" s="29" t="n">
        <v>6131</v>
      </c>
      <c r="C79" s="30" t="s">
        <v>150</v>
      </c>
      <c r="D79" s="31" t="n">
        <v>300000</v>
      </c>
      <c r="E79" s="31" t="n">
        <v>300000</v>
      </c>
      <c r="F79" s="31" t="n">
        <v>300000</v>
      </c>
      <c r="G79" s="31" t="n">
        <v>300000</v>
      </c>
      <c r="H79" s="31" t="n">
        <v>300000</v>
      </c>
      <c r="I79" s="31" t="n">
        <v>300000</v>
      </c>
      <c r="J79" s="31" t="n">
        <v>300000</v>
      </c>
      <c r="K79" s="31" t="n">
        <v>300000</v>
      </c>
      <c r="L79" s="31" t="n">
        <v>300000</v>
      </c>
      <c r="M79" s="31" t="n">
        <v>300000</v>
      </c>
      <c r="N79" s="31" t="n">
        <v>300000</v>
      </c>
      <c r="O79" s="31" t="n">
        <v>300000</v>
      </c>
      <c r="P79" s="31" t="n">
        <v>300000</v>
      </c>
    </row>
    <row r="80" customFormat="false" ht="15" hidden="false" customHeight="false" outlineLevel="0" collapsed="false">
      <c r="B80" s="26" t="n">
        <v>6132</v>
      </c>
      <c r="C80" s="27" t="s">
        <v>151</v>
      </c>
      <c r="D80" s="28" t="n">
        <v>0</v>
      </c>
      <c r="E80" s="28" t="n">
        <v>0</v>
      </c>
      <c r="F80" s="28" t="n">
        <v>0</v>
      </c>
      <c r="G80" s="28" t="n">
        <v>0</v>
      </c>
      <c r="H80" s="28" t="n">
        <v>0</v>
      </c>
      <c r="I80" s="28" t="n">
        <v>0</v>
      </c>
      <c r="J80" s="28" t="n">
        <v>0</v>
      </c>
      <c r="K80" s="28" t="n">
        <v>0</v>
      </c>
      <c r="L80" s="28" t="n">
        <v>0</v>
      </c>
      <c r="M80" s="28" t="n">
        <v>0</v>
      </c>
      <c r="N80" s="28" t="n">
        <v>0</v>
      </c>
      <c r="O80" s="28" t="n">
        <v>0</v>
      </c>
      <c r="P80" s="28" t="n">
        <v>0</v>
      </c>
    </row>
    <row r="81" customFormat="false" ht="15" hidden="false" customHeight="false" outlineLevel="0" collapsed="false">
      <c r="B81" s="29" t="n">
        <v>6133</v>
      </c>
      <c r="C81" s="30" t="s">
        <v>152</v>
      </c>
      <c r="D81" s="31" t="n">
        <v>199786.16</v>
      </c>
      <c r="E81" s="31" t="n">
        <v>192855.92</v>
      </c>
      <c r="F81" s="31" t="n">
        <v>194722.8</v>
      </c>
      <c r="G81" s="31" t="n">
        <v>201164.87</v>
      </c>
      <c r="H81" s="31" t="n">
        <v>203324.45</v>
      </c>
      <c r="I81" s="31" t="n">
        <v>203319.27</v>
      </c>
      <c r="J81" s="31" t="n">
        <v>207959.41</v>
      </c>
      <c r="K81" s="31" t="n">
        <v>202525.92</v>
      </c>
      <c r="L81" s="31" t="n">
        <v>174157.97</v>
      </c>
      <c r="M81" s="31" t="n">
        <v>197287.49</v>
      </c>
      <c r="N81" s="31" t="n">
        <v>204924.14</v>
      </c>
      <c r="O81" s="31" t="n">
        <v>204728.63</v>
      </c>
      <c r="P81" s="31" t="n">
        <v>213029.11</v>
      </c>
    </row>
    <row r="82" customFormat="false" ht="15" hidden="false" customHeight="false" outlineLevel="0" collapsed="false">
      <c r="B82" s="26" t="n">
        <v>6134</v>
      </c>
      <c r="C82" s="27" t="s">
        <v>153</v>
      </c>
      <c r="D82" s="28" t="n">
        <v>108333.33</v>
      </c>
      <c r="E82" s="28" t="n">
        <v>108333.33</v>
      </c>
      <c r="F82" s="28" t="n">
        <v>108333.33</v>
      </c>
      <c r="G82" s="28" t="n">
        <v>108333.33</v>
      </c>
      <c r="H82" s="28" t="n">
        <v>108333.33</v>
      </c>
      <c r="I82" s="28" t="n">
        <v>108333.33</v>
      </c>
      <c r="J82" s="28" t="n">
        <v>108333.33</v>
      </c>
      <c r="K82" s="28" t="n">
        <v>108333.33</v>
      </c>
      <c r="L82" s="28" t="n">
        <v>108333.33</v>
      </c>
      <c r="M82" s="28" t="n">
        <v>108333.33</v>
      </c>
      <c r="N82" s="28" t="n">
        <v>108333.33</v>
      </c>
      <c r="O82" s="28" t="n">
        <v>108333.33</v>
      </c>
      <c r="P82" s="28" t="n">
        <v>108333.33</v>
      </c>
    </row>
    <row r="83" customFormat="false" ht="15" hidden="false" customHeight="false" outlineLevel="0" collapsed="false">
      <c r="B83" s="29" t="n">
        <v>6135</v>
      </c>
      <c r="C83" s="30" t="s">
        <v>154</v>
      </c>
      <c r="D83" s="31" t="n">
        <v>131983.15</v>
      </c>
      <c r="E83" s="31" t="n">
        <v>124870.79</v>
      </c>
      <c r="F83" s="31" t="n">
        <v>126431.84</v>
      </c>
      <c r="G83" s="31" t="n">
        <v>139201.29</v>
      </c>
      <c r="H83" s="31" t="n">
        <v>136011.97</v>
      </c>
      <c r="I83" s="31" t="n">
        <v>139594.47</v>
      </c>
      <c r="J83" s="31" t="n">
        <v>142077.01</v>
      </c>
      <c r="K83" s="31" t="n">
        <v>130154.83</v>
      </c>
      <c r="L83" s="31" t="n">
        <v>89212.31</v>
      </c>
      <c r="M83" s="31" t="n">
        <v>133350.14</v>
      </c>
      <c r="N83" s="31" t="n">
        <v>144971.5</v>
      </c>
      <c r="O83" s="31" t="n">
        <v>138193.08</v>
      </c>
      <c r="P83" s="31" t="n">
        <v>155930.77</v>
      </c>
    </row>
    <row r="84" customFormat="false" ht="15" hidden="false" customHeight="false" outlineLevel="0" collapsed="false">
      <c r="B84" s="26" t="n">
        <v>6136</v>
      </c>
      <c r="C84" s="27" t="s">
        <v>155</v>
      </c>
      <c r="D84" s="28" t="n">
        <v>107612.06</v>
      </c>
      <c r="E84" s="28" t="n">
        <v>109831.62</v>
      </c>
      <c r="F84" s="28" t="n">
        <v>104765.38</v>
      </c>
      <c r="G84" s="28" t="n">
        <v>129461.95</v>
      </c>
      <c r="H84" s="28" t="n">
        <v>89383.61</v>
      </c>
      <c r="I84" s="28" t="n">
        <v>126487.35</v>
      </c>
      <c r="J84" s="28" t="n">
        <v>108165.52</v>
      </c>
      <c r="K84" s="28" t="n">
        <v>127985.9</v>
      </c>
      <c r="L84" s="28" t="n">
        <v>92031.29</v>
      </c>
      <c r="M84" s="28" t="n">
        <v>129097.47</v>
      </c>
      <c r="N84" s="28" t="n">
        <v>146949.96</v>
      </c>
      <c r="O84" s="28" t="n">
        <v>107436.81</v>
      </c>
      <c r="P84" s="28" t="n">
        <v>128403.14</v>
      </c>
    </row>
    <row r="85" customFormat="false" ht="15" hidden="false" customHeight="false" outlineLevel="0" collapsed="false">
      <c r="B85" s="29" t="n">
        <v>6141</v>
      </c>
      <c r="C85" s="30" t="s">
        <v>156</v>
      </c>
      <c r="D85" s="31" t="n">
        <v>14038.64</v>
      </c>
      <c r="E85" s="31" t="n">
        <v>19665.6</v>
      </c>
      <c r="F85" s="31" t="n">
        <v>16350.16</v>
      </c>
      <c r="G85" s="31" t="n">
        <v>20615.1</v>
      </c>
      <c r="H85" s="31" t="n">
        <v>16061.61</v>
      </c>
      <c r="I85" s="31" t="n">
        <v>16224.59</v>
      </c>
      <c r="J85" s="31" t="n">
        <v>14706.53</v>
      </c>
      <c r="K85" s="31" t="n">
        <v>14722.7</v>
      </c>
      <c r="L85" s="31" t="n">
        <v>18001.98</v>
      </c>
      <c r="M85" s="31" t="n">
        <v>15397.91</v>
      </c>
      <c r="N85" s="31" t="n">
        <v>13974.04</v>
      </c>
      <c r="O85" s="31" t="n">
        <v>17215.45</v>
      </c>
      <c r="P85" s="31" t="n">
        <v>17064.34</v>
      </c>
    </row>
    <row r="86" customFormat="false" ht="15" hidden="false" customHeight="false" outlineLevel="0" collapsed="false">
      <c r="B86" s="26" t="n">
        <v>6142</v>
      </c>
      <c r="C86" s="27" t="s">
        <v>157</v>
      </c>
      <c r="D86" s="28" t="n">
        <v>123798.84</v>
      </c>
      <c r="E86" s="28" t="n">
        <v>112744.07</v>
      </c>
      <c r="F86" s="28" t="n">
        <v>118863.63</v>
      </c>
      <c r="G86" s="28" t="n">
        <v>133571.41</v>
      </c>
      <c r="H86" s="28" t="n">
        <v>125301.63</v>
      </c>
      <c r="I86" s="28" t="n">
        <v>135319.95</v>
      </c>
      <c r="J86" s="28" t="n">
        <v>133330.35</v>
      </c>
      <c r="K86" s="28" t="n">
        <v>123468.48</v>
      </c>
      <c r="L86" s="28" t="n">
        <v>79194.24</v>
      </c>
      <c r="M86" s="28" t="n">
        <v>126505.51</v>
      </c>
      <c r="N86" s="28" t="n">
        <v>134799.13</v>
      </c>
      <c r="O86" s="28" t="n">
        <v>130113.04</v>
      </c>
      <c r="P86" s="28" t="n">
        <v>146788.57</v>
      </c>
    </row>
    <row r="87" customFormat="false" ht="15" hidden="false" customHeight="false" outlineLevel="0" collapsed="false">
      <c r="B87" s="29" t="n">
        <v>6143</v>
      </c>
      <c r="C87" s="30" t="s">
        <v>158</v>
      </c>
      <c r="D87" s="31" t="n">
        <v>83454.43</v>
      </c>
      <c r="E87" s="31" t="n">
        <v>83646.56</v>
      </c>
      <c r="F87" s="31" t="n">
        <v>69025.14</v>
      </c>
      <c r="G87" s="31" t="n">
        <v>81035.83</v>
      </c>
      <c r="H87" s="31" t="n">
        <v>89643.74</v>
      </c>
      <c r="I87" s="31" t="n">
        <v>75187.39</v>
      </c>
      <c r="J87" s="31" t="n">
        <v>81031.62</v>
      </c>
      <c r="K87" s="31" t="n">
        <v>75499.31</v>
      </c>
      <c r="L87" s="31" t="n">
        <v>57831.53</v>
      </c>
      <c r="M87" s="31" t="n">
        <v>73527.07</v>
      </c>
      <c r="N87" s="31" t="n">
        <v>65839.75</v>
      </c>
      <c r="O87" s="31" t="n">
        <v>75578.67</v>
      </c>
      <c r="P87" s="31" t="n">
        <v>72153.38</v>
      </c>
    </row>
    <row r="88" customFormat="false" ht="15" hidden="false" customHeight="false" outlineLevel="0" collapsed="false">
      <c r="B88" s="26" t="n">
        <v>6144</v>
      </c>
      <c r="C88" s="27" t="s">
        <v>159</v>
      </c>
      <c r="D88" s="28" t="n">
        <v>14433.47</v>
      </c>
      <c r="E88" s="28" t="n">
        <v>19469.6</v>
      </c>
      <c r="F88" s="28" t="n">
        <v>11729.63</v>
      </c>
      <c r="G88" s="28" t="n">
        <v>21222.83</v>
      </c>
      <c r="H88" s="28" t="n">
        <v>20721.54</v>
      </c>
      <c r="I88" s="28" t="n">
        <v>18430.86</v>
      </c>
      <c r="J88" s="28" t="n">
        <v>12958.82</v>
      </c>
      <c r="K88" s="28" t="n">
        <v>13103.11</v>
      </c>
      <c r="L88" s="28" t="n">
        <v>19129.02</v>
      </c>
      <c r="M88" s="28" t="n">
        <v>17710.67</v>
      </c>
      <c r="N88" s="28" t="n">
        <v>20905.78</v>
      </c>
      <c r="O88" s="28" t="n">
        <v>12528.92</v>
      </c>
      <c r="P88" s="28" t="n">
        <v>12089.22</v>
      </c>
    </row>
    <row r="89" customFormat="false" ht="15" hidden="false" customHeight="false" outlineLevel="0" collapsed="false">
      <c r="B89" s="29" t="n">
        <v>6145</v>
      </c>
      <c r="C89" s="30" t="s">
        <v>160</v>
      </c>
      <c r="D89" s="31" t="n">
        <v>34360.02</v>
      </c>
      <c r="E89" s="31" t="n">
        <v>35112.38</v>
      </c>
      <c r="F89" s="31" t="n">
        <v>32355.37</v>
      </c>
      <c r="G89" s="31" t="n">
        <v>32213.46</v>
      </c>
      <c r="H89" s="31" t="n">
        <v>34438.3</v>
      </c>
      <c r="I89" s="31" t="n">
        <v>32522.83</v>
      </c>
      <c r="J89" s="31" t="n">
        <v>33063.01</v>
      </c>
      <c r="K89" s="31" t="n">
        <v>32890.78</v>
      </c>
      <c r="L89" s="31" t="n">
        <v>34246.24</v>
      </c>
      <c r="M89" s="31" t="n">
        <v>33502.16</v>
      </c>
      <c r="N89" s="31" t="n">
        <v>32398.67</v>
      </c>
      <c r="O89" s="31" t="n">
        <v>34767.68</v>
      </c>
      <c r="P89" s="31" t="n">
        <v>32489.15</v>
      </c>
    </row>
    <row r="90" customFormat="false" ht="15" hidden="false" customHeight="false" outlineLevel="0" collapsed="false">
      <c r="B90" s="26" t="n">
        <v>6147</v>
      </c>
      <c r="C90" s="27" t="s">
        <v>161</v>
      </c>
      <c r="D90" s="28" t="n">
        <v>32245.64</v>
      </c>
      <c r="E90" s="28" t="n">
        <v>31682.76</v>
      </c>
      <c r="F90" s="28" t="n">
        <v>31943.13</v>
      </c>
      <c r="G90" s="28" t="n">
        <v>34524.72</v>
      </c>
      <c r="H90" s="28" t="n">
        <v>33355.34</v>
      </c>
      <c r="I90" s="28" t="n">
        <v>34240.31</v>
      </c>
      <c r="J90" s="28" t="n">
        <v>35058.45</v>
      </c>
      <c r="K90" s="28" t="n">
        <v>32667.06</v>
      </c>
      <c r="L90" s="28" t="n">
        <v>27025.2</v>
      </c>
      <c r="M90" s="28" t="n">
        <v>33674.15</v>
      </c>
      <c r="N90" s="28" t="n">
        <v>35029.71</v>
      </c>
      <c r="O90" s="28" t="n">
        <v>33913.75</v>
      </c>
      <c r="P90" s="28" t="n">
        <v>36885.41</v>
      </c>
    </row>
    <row r="91" customFormat="false" ht="15" hidden="false" customHeight="false" outlineLevel="0" collapsed="false">
      <c r="B91" s="29" t="n">
        <v>6148</v>
      </c>
      <c r="C91" s="30" t="s">
        <v>162</v>
      </c>
      <c r="D91" s="31" t="n">
        <v>8333.33</v>
      </c>
      <c r="E91" s="31" t="n">
        <v>8333.33</v>
      </c>
      <c r="F91" s="31" t="n">
        <v>8333.33</v>
      </c>
      <c r="G91" s="31" t="n">
        <v>8333.33</v>
      </c>
      <c r="H91" s="31" t="n">
        <v>8333.33</v>
      </c>
      <c r="I91" s="31" t="n">
        <v>8333.33</v>
      </c>
      <c r="J91" s="31" t="n">
        <v>8333.33</v>
      </c>
      <c r="K91" s="31" t="n">
        <v>8333.33</v>
      </c>
      <c r="L91" s="31" t="n">
        <v>8333.33</v>
      </c>
      <c r="M91" s="31" t="n">
        <v>8333.33</v>
      </c>
      <c r="N91" s="31" t="n">
        <v>8333.33</v>
      </c>
      <c r="O91" s="31" t="n">
        <v>8333.33</v>
      </c>
      <c r="P91" s="31" t="n">
        <v>8333.33</v>
      </c>
    </row>
    <row r="92" customFormat="false" ht="15" hidden="false" customHeight="false" outlineLevel="0" collapsed="false">
      <c r="B92" s="26" t="n">
        <v>6161</v>
      </c>
      <c r="C92" s="27" t="s">
        <v>163</v>
      </c>
      <c r="D92" s="28" t="n">
        <v>75000</v>
      </c>
      <c r="E92" s="28" t="n">
        <v>75000</v>
      </c>
      <c r="F92" s="28" t="n">
        <v>75000</v>
      </c>
      <c r="G92" s="28" t="n">
        <v>75000</v>
      </c>
      <c r="H92" s="28" t="n">
        <v>75000</v>
      </c>
      <c r="I92" s="28" t="n">
        <v>75000</v>
      </c>
      <c r="J92" s="28" t="n">
        <v>75000</v>
      </c>
      <c r="K92" s="28" t="n">
        <v>75000</v>
      </c>
      <c r="L92" s="28" t="n">
        <v>75000</v>
      </c>
      <c r="M92" s="28" t="n">
        <v>75000</v>
      </c>
      <c r="N92" s="28" t="n">
        <v>75000</v>
      </c>
      <c r="O92" s="28" t="n">
        <v>75000</v>
      </c>
      <c r="P92" s="28" t="n">
        <v>75000</v>
      </c>
    </row>
    <row r="93" customFormat="false" ht="15" hidden="false" customHeight="false" outlineLevel="0" collapsed="false">
      <c r="B93" s="29" t="n">
        <v>6167</v>
      </c>
      <c r="C93" s="30" t="s">
        <v>164</v>
      </c>
      <c r="D93" s="31" t="n">
        <v>52825.77</v>
      </c>
      <c r="E93" s="31" t="n">
        <v>49008.07</v>
      </c>
      <c r="F93" s="31" t="n">
        <v>47433.54</v>
      </c>
      <c r="G93" s="31" t="n">
        <v>46085.58</v>
      </c>
      <c r="H93" s="31" t="n">
        <v>51320.6</v>
      </c>
      <c r="I93" s="31" t="n">
        <v>55520.87</v>
      </c>
      <c r="J93" s="31" t="n">
        <v>46765.77</v>
      </c>
      <c r="K93" s="31" t="n">
        <v>51809.99</v>
      </c>
      <c r="L93" s="31" t="n">
        <v>52155.06</v>
      </c>
      <c r="M93" s="31" t="n">
        <v>49501.09</v>
      </c>
      <c r="N93" s="31" t="n">
        <v>47400.79</v>
      </c>
      <c r="O93" s="31" t="n">
        <v>53341.72</v>
      </c>
      <c r="P93" s="31" t="n">
        <v>49656.9</v>
      </c>
    </row>
    <row r="94" customFormat="false" ht="15" hidden="false" customHeight="false" outlineLevel="0" collapsed="false">
      <c r="B94" s="26" t="n">
        <v>6171</v>
      </c>
      <c r="C94" s="27" t="s">
        <v>165</v>
      </c>
      <c r="D94" s="28" t="n">
        <v>3053880.21</v>
      </c>
      <c r="E94" s="28" t="n">
        <v>2487886.51</v>
      </c>
      <c r="F94" s="28" t="n">
        <v>2480540.57</v>
      </c>
      <c r="G94" s="28" t="n">
        <v>2516714.84</v>
      </c>
      <c r="H94" s="28" t="n">
        <v>2488352.24</v>
      </c>
      <c r="I94" s="28" t="n">
        <v>2530504.63</v>
      </c>
      <c r="J94" s="28" t="n">
        <v>2503626.62</v>
      </c>
      <c r="K94" s="28" t="n">
        <v>2495406.92</v>
      </c>
      <c r="L94" s="28" t="n">
        <v>2321545.82</v>
      </c>
      <c r="M94" s="28" t="n">
        <v>2531386</v>
      </c>
      <c r="N94" s="28" t="n">
        <v>2534793.29</v>
      </c>
      <c r="O94" s="28" t="n">
        <v>2502532.16</v>
      </c>
      <c r="P94" s="28" t="n">
        <v>3206710.4</v>
      </c>
    </row>
    <row r="95" customFormat="false" ht="15" hidden="false" customHeight="false" outlineLevel="0" collapsed="false">
      <c r="B95" s="29" t="n">
        <v>6174</v>
      </c>
      <c r="C95" s="30" t="s">
        <v>166</v>
      </c>
      <c r="D95" s="31" t="n">
        <v>802015.95</v>
      </c>
      <c r="E95" s="31" t="n">
        <v>644811.89</v>
      </c>
      <c r="F95" s="31" t="n">
        <v>657138.23</v>
      </c>
      <c r="G95" s="31" t="n">
        <v>655904.03</v>
      </c>
      <c r="H95" s="31" t="n">
        <v>658789.09</v>
      </c>
      <c r="I95" s="31" t="n">
        <v>658525.49</v>
      </c>
      <c r="J95" s="31" t="n">
        <v>656297.61</v>
      </c>
      <c r="K95" s="31" t="n">
        <v>653666.03</v>
      </c>
      <c r="L95" s="31" t="n">
        <v>609036.36</v>
      </c>
      <c r="M95" s="31" t="n">
        <v>659998.74</v>
      </c>
      <c r="N95" s="31" t="n">
        <v>656386.43</v>
      </c>
      <c r="O95" s="31" t="n">
        <v>653356.43</v>
      </c>
      <c r="P95" s="31" t="n">
        <v>836089.67</v>
      </c>
    </row>
    <row r="96" customFormat="false" ht="15" hidden="false" customHeight="false" outlineLevel="0" collapsed="false">
      <c r="B96" s="26" t="n">
        <v>6176</v>
      </c>
      <c r="C96" s="27" t="s">
        <v>167</v>
      </c>
      <c r="D96" s="28" t="n">
        <v>123797.76</v>
      </c>
      <c r="E96" s="28" t="n">
        <v>109841.18</v>
      </c>
      <c r="F96" s="28" t="n">
        <v>109339.92</v>
      </c>
      <c r="G96" s="28" t="n">
        <v>125611.1</v>
      </c>
      <c r="H96" s="28" t="n">
        <v>123766.2</v>
      </c>
      <c r="I96" s="28" t="n">
        <v>111870.55</v>
      </c>
      <c r="J96" s="28" t="n">
        <v>110826.07</v>
      </c>
      <c r="K96" s="28" t="n">
        <v>126512.12</v>
      </c>
      <c r="L96" s="28" t="n">
        <v>122713.6</v>
      </c>
      <c r="M96" s="28" t="n">
        <v>119882.53</v>
      </c>
      <c r="N96" s="28" t="n">
        <v>111455.51</v>
      </c>
      <c r="O96" s="28" t="n">
        <v>115904.07</v>
      </c>
      <c r="P96" s="28" t="n">
        <v>112277.15</v>
      </c>
    </row>
    <row r="97" customFormat="false" ht="15" hidden="false" customHeight="false" outlineLevel="0" collapsed="false">
      <c r="B97" s="29" t="n">
        <v>6182</v>
      </c>
      <c r="C97" s="30" t="s">
        <v>168</v>
      </c>
      <c r="D97" s="31" t="n">
        <v>0</v>
      </c>
      <c r="E97" s="31" t="n">
        <v>0</v>
      </c>
      <c r="F97" s="31" t="n">
        <v>0</v>
      </c>
      <c r="G97" s="31" t="n">
        <v>0</v>
      </c>
      <c r="H97" s="31" t="n">
        <v>0</v>
      </c>
      <c r="I97" s="31" t="n">
        <v>0</v>
      </c>
      <c r="J97" s="31" t="n">
        <v>0</v>
      </c>
      <c r="K97" s="31" t="n">
        <v>0</v>
      </c>
      <c r="L97" s="31" t="n">
        <v>0</v>
      </c>
      <c r="M97" s="31" t="n">
        <v>0</v>
      </c>
      <c r="N97" s="31" t="n">
        <v>0</v>
      </c>
      <c r="O97" s="31" t="n">
        <v>100000</v>
      </c>
      <c r="P97" s="31" t="n">
        <v>0</v>
      </c>
    </row>
    <row r="98" customFormat="false" ht="15" hidden="false" customHeight="false" outlineLevel="0" collapsed="false">
      <c r="B98" s="26" t="n">
        <v>6191</v>
      </c>
      <c r="C98" s="27" t="s">
        <v>169</v>
      </c>
      <c r="D98" s="28" t="n">
        <v>33333.33</v>
      </c>
      <c r="E98" s="28" t="n">
        <v>33333.33</v>
      </c>
      <c r="F98" s="28" t="n">
        <v>33333.33</v>
      </c>
      <c r="G98" s="28" t="n">
        <v>33333.33</v>
      </c>
      <c r="H98" s="28" t="n">
        <v>33333.33</v>
      </c>
      <c r="I98" s="28" t="n">
        <v>33333.33</v>
      </c>
      <c r="J98" s="28" t="n">
        <v>33333.33</v>
      </c>
      <c r="K98" s="28" t="n">
        <v>33333.33</v>
      </c>
      <c r="L98" s="28" t="n">
        <v>33333.33</v>
      </c>
      <c r="M98" s="28" t="n">
        <v>33333.33</v>
      </c>
      <c r="N98" s="28" t="n">
        <v>33333.33</v>
      </c>
      <c r="O98" s="28" t="n">
        <v>33333.33</v>
      </c>
      <c r="P98" s="28" t="n">
        <v>33333.33</v>
      </c>
    </row>
    <row r="99" customFormat="false" ht="15" hidden="false" customHeight="false" outlineLevel="0" collapsed="false">
      <c r="B99" s="29" t="n">
        <v>6192</v>
      </c>
      <c r="C99" s="30" t="s">
        <v>170</v>
      </c>
      <c r="D99" s="31" t="n">
        <v>25000</v>
      </c>
      <c r="E99" s="31" t="n">
        <v>25000</v>
      </c>
      <c r="F99" s="31" t="n">
        <v>25000</v>
      </c>
      <c r="G99" s="31" t="n">
        <v>25000</v>
      </c>
      <c r="H99" s="31" t="n">
        <v>25000</v>
      </c>
      <c r="I99" s="31" t="n">
        <v>25000</v>
      </c>
      <c r="J99" s="31" t="n">
        <v>25000</v>
      </c>
      <c r="K99" s="31" t="n">
        <v>25000</v>
      </c>
      <c r="L99" s="31" t="n">
        <v>25000</v>
      </c>
      <c r="M99" s="31" t="n">
        <v>25000</v>
      </c>
      <c r="N99" s="31" t="n">
        <v>25000</v>
      </c>
      <c r="O99" s="31" t="n">
        <v>25000</v>
      </c>
      <c r="P99" s="31" t="n">
        <v>25000</v>
      </c>
    </row>
    <row r="100" customFormat="false" ht="15" hidden="false" customHeight="false" outlineLevel="0" collapsed="false">
      <c r="B100" s="26" t="n">
        <v>6193</v>
      </c>
      <c r="C100" s="27" t="s">
        <v>171</v>
      </c>
      <c r="D100" s="28" t="n">
        <v>675000</v>
      </c>
      <c r="E100" s="28" t="n">
        <v>675000</v>
      </c>
      <c r="F100" s="28" t="n">
        <v>675000</v>
      </c>
      <c r="G100" s="28" t="n">
        <v>675000</v>
      </c>
      <c r="H100" s="28" t="n">
        <v>675000</v>
      </c>
      <c r="I100" s="28" t="n">
        <v>675000</v>
      </c>
      <c r="J100" s="28" t="n">
        <v>675000</v>
      </c>
      <c r="K100" s="28" t="n">
        <v>675000</v>
      </c>
      <c r="L100" s="28" t="n">
        <v>675000</v>
      </c>
      <c r="M100" s="28" t="n">
        <v>675000</v>
      </c>
      <c r="N100" s="28" t="n">
        <v>675000</v>
      </c>
      <c r="O100" s="28" t="n">
        <v>675000</v>
      </c>
      <c r="P100" s="28" t="n">
        <v>675000</v>
      </c>
    </row>
    <row r="101" customFormat="false" ht="15" hidden="false" customHeight="false" outlineLevel="0" collapsed="false">
      <c r="B101" s="29" t="n">
        <v>6196</v>
      </c>
      <c r="C101" s="30" t="s">
        <v>172</v>
      </c>
      <c r="D101" s="31" t="n">
        <v>80000</v>
      </c>
      <c r="E101" s="31" t="n">
        <v>0</v>
      </c>
      <c r="F101" s="31" t="n">
        <v>0</v>
      </c>
      <c r="G101" s="31" t="n">
        <v>0</v>
      </c>
      <c r="H101" s="31" t="n">
        <v>0</v>
      </c>
      <c r="I101" s="31" t="n">
        <v>0</v>
      </c>
      <c r="J101" s="31" t="n">
        <v>100000</v>
      </c>
      <c r="K101" s="31" t="n">
        <v>0</v>
      </c>
      <c r="L101" s="31" t="n">
        <v>0</v>
      </c>
      <c r="M101" s="31" t="n">
        <v>0</v>
      </c>
      <c r="N101" s="31" t="n">
        <v>0</v>
      </c>
      <c r="O101" s="31" t="n">
        <v>0</v>
      </c>
      <c r="P101" s="31" t="n">
        <v>100000</v>
      </c>
    </row>
    <row r="102" customFormat="false" ht="15" hidden="false" customHeight="false" outlineLevel="0" collapsed="false">
      <c r="B102" s="26" t="n">
        <v>6311</v>
      </c>
      <c r="C102" s="27" t="s">
        <v>173</v>
      </c>
      <c r="D102" s="28" t="n">
        <v>282826.99</v>
      </c>
      <c r="E102" s="28" t="n">
        <v>280012.79</v>
      </c>
      <c r="F102" s="28" t="n">
        <v>277198.59</v>
      </c>
      <c r="G102" s="28" t="n">
        <v>274384.39</v>
      </c>
      <c r="H102" s="28" t="n">
        <v>271570.2</v>
      </c>
      <c r="I102" s="28" t="n">
        <v>268756</v>
      </c>
      <c r="J102" s="28" t="n">
        <v>265941.8</v>
      </c>
      <c r="K102" s="28" t="n">
        <v>265685.96</v>
      </c>
      <c r="L102" s="28" t="n">
        <v>270546.85</v>
      </c>
      <c r="M102" s="28" t="n">
        <v>267732.65</v>
      </c>
      <c r="N102" s="28" t="n">
        <v>257243.36</v>
      </c>
      <c r="O102" s="28" t="n">
        <v>251870.8</v>
      </c>
      <c r="P102" s="28" t="n">
        <v>249056.6</v>
      </c>
    </row>
    <row r="103" customFormat="false" ht="15" hidden="false" customHeight="false" outlineLevel="0" collapsed="false">
      <c r="B103" s="29" t="n">
        <v>6331</v>
      </c>
      <c r="C103" s="30" t="s">
        <v>174</v>
      </c>
      <c r="D103" s="31" t="n">
        <v>100000</v>
      </c>
      <c r="E103" s="31" t="n">
        <v>50000</v>
      </c>
      <c r="F103" s="31" t="n">
        <v>80000</v>
      </c>
      <c r="G103" s="31" t="n">
        <v>750000</v>
      </c>
      <c r="H103" s="31" t="n">
        <v>100000</v>
      </c>
      <c r="I103" s="31" t="n">
        <v>80000</v>
      </c>
      <c r="J103" s="31" t="n">
        <v>60000</v>
      </c>
      <c r="K103" s="31" t="n">
        <v>100000</v>
      </c>
      <c r="L103" s="31" t="n">
        <v>40000</v>
      </c>
      <c r="M103" s="31" t="n">
        <v>120000</v>
      </c>
      <c r="N103" s="31" t="n">
        <v>150000</v>
      </c>
      <c r="O103" s="31" t="n">
        <v>200000</v>
      </c>
      <c r="P103" s="31" t="n">
        <v>70000</v>
      </c>
    </row>
    <row r="104" customFormat="false" ht="15" hidden="false" customHeight="false" outlineLevel="0" collapsed="false">
      <c r="B104" s="26" t="n">
        <v>6386</v>
      </c>
      <c r="C104" s="27" t="s">
        <v>175</v>
      </c>
      <c r="D104" s="28" t="n">
        <v>12220.52</v>
      </c>
      <c r="E104" s="28" t="n">
        <v>11434.78</v>
      </c>
      <c r="F104" s="28" t="n">
        <v>11936.62</v>
      </c>
      <c r="G104" s="28" t="n">
        <v>13294</v>
      </c>
      <c r="H104" s="28" t="n">
        <v>12619.19</v>
      </c>
      <c r="I104" s="28" t="n">
        <v>13246.78</v>
      </c>
      <c r="J104" s="28" t="n">
        <v>13584.99</v>
      </c>
      <c r="K104" s="28" t="n">
        <v>12223.61</v>
      </c>
      <c r="L104" s="28" t="n">
        <v>7803.87</v>
      </c>
      <c r="M104" s="28" t="n">
        <v>12941.13</v>
      </c>
      <c r="N104" s="28" t="n">
        <v>13517.6</v>
      </c>
      <c r="O104" s="28" t="n">
        <v>12827.92</v>
      </c>
      <c r="P104" s="28" t="n">
        <v>14569.51</v>
      </c>
    </row>
    <row r="105" customFormat="false" ht="15" hidden="false" customHeight="false" outlineLevel="0" collapsed="false">
      <c r="B105" s="29" t="n">
        <v>6392</v>
      </c>
      <c r="C105" s="30" t="s">
        <v>176</v>
      </c>
      <c r="D105" s="31" t="n">
        <v>0</v>
      </c>
      <c r="E105" s="31" t="n">
        <v>0</v>
      </c>
      <c r="F105" s="31" t="n">
        <v>0</v>
      </c>
      <c r="G105" s="31" t="n">
        <v>0</v>
      </c>
      <c r="H105" s="31" t="n">
        <v>0</v>
      </c>
      <c r="I105" s="31" t="n">
        <v>0</v>
      </c>
      <c r="J105" s="31" t="n">
        <v>0</v>
      </c>
      <c r="K105" s="31" t="n">
        <v>0</v>
      </c>
      <c r="L105" s="31" t="n">
        <v>0</v>
      </c>
      <c r="M105" s="31" t="n">
        <v>0</v>
      </c>
      <c r="N105" s="31" t="n">
        <v>0</v>
      </c>
      <c r="O105" s="31" t="n">
        <v>0</v>
      </c>
      <c r="P105" s="31" t="n">
        <v>0</v>
      </c>
    </row>
    <row r="106" customFormat="false" ht="15" hidden="false" customHeight="false" outlineLevel="0" collapsed="false">
      <c r="B106" s="26" t="n">
        <v>6513</v>
      </c>
      <c r="C106" s="27" t="s">
        <v>177</v>
      </c>
      <c r="D106" s="28" t="n">
        <v>0</v>
      </c>
      <c r="E106" s="28" t="n">
        <v>0</v>
      </c>
      <c r="F106" s="28" t="n">
        <v>0</v>
      </c>
      <c r="G106" s="28" t="n">
        <v>0</v>
      </c>
      <c r="H106" s="28" t="n">
        <v>0</v>
      </c>
      <c r="I106" s="28" t="n">
        <v>0</v>
      </c>
      <c r="J106" s="28" t="n">
        <v>0</v>
      </c>
      <c r="K106" s="28" t="n">
        <v>0</v>
      </c>
      <c r="L106" s="28" t="n">
        <v>0</v>
      </c>
      <c r="M106" s="28" t="n">
        <v>0</v>
      </c>
      <c r="N106" s="28" t="n">
        <v>250000</v>
      </c>
      <c r="O106" s="28" t="n">
        <v>0</v>
      </c>
      <c r="P106" s="28" t="n">
        <v>0</v>
      </c>
    </row>
    <row r="107" customFormat="false" ht="15" hidden="false" customHeight="false" outlineLevel="0" collapsed="false">
      <c r="B107" s="29" t="n">
        <v>6581</v>
      </c>
      <c r="C107" s="30" t="s">
        <v>178</v>
      </c>
      <c r="D107" s="31" t="n">
        <v>0</v>
      </c>
      <c r="E107" s="31" t="n">
        <v>0</v>
      </c>
      <c r="F107" s="31" t="n">
        <v>0</v>
      </c>
      <c r="G107" s="31" t="n">
        <v>0</v>
      </c>
      <c r="H107" s="31" t="n">
        <v>0</v>
      </c>
      <c r="I107" s="31" t="n">
        <v>0</v>
      </c>
      <c r="J107" s="31" t="n">
        <v>0</v>
      </c>
      <c r="K107" s="31" t="n">
        <v>0</v>
      </c>
      <c r="L107" s="31" t="n">
        <v>100000</v>
      </c>
      <c r="M107" s="31" t="n">
        <v>0</v>
      </c>
      <c r="N107" s="31" t="n">
        <v>0</v>
      </c>
      <c r="O107" s="31" t="n">
        <v>150000</v>
      </c>
      <c r="P107" s="31" t="n">
        <v>0</v>
      </c>
    </row>
    <row r="108" customFormat="false" ht="15" hidden="false" customHeight="false" outlineLevel="0" collapsed="false">
      <c r="B108" s="26" t="n">
        <v>6583</v>
      </c>
      <c r="C108" s="27" t="s">
        <v>179</v>
      </c>
      <c r="D108" s="28" t="n">
        <v>0</v>
      </c>
      <c r="E108" s="28" t="n">
        <v>0</v>
      </c>
      <c r="F108" s="28" t="n">
        <v>0</v>
      </c>
      <c r="G108" s="28" t="n">
        <v>0</v>
      </c>
      <c r="H108" s="28" t="n">
        <v>0</v>
      </c>
      <c r="I108" s="28" t="n">
        <v>0</v>
      </c>
      <c r="J108" s="28" t="n">
        <v>0</v>
      </c>
      <c r="K108" s="28" t="n">
        <v>0</v>
      </c>
      <c r="L108" s="28" t="n">
        <v>0</v>
      </c>
      <c r="M108" s="28" t="n">
        <v>0</v>
      </c>
      <c r="N108" s="28" t="n">
        <v>0</v>
      </c>
      <c r="O108" s="28" t="n">
        <v>0</v>
      </c>
      <c r="P108" s="28" t="n">
        <v>0</v>
      </c>
    </row>
    <row r="109" customFormat="false" ht="15" hidden="false" customHeight="false" outlineLevel="0" collapsed="false">
      <c r="B109" s="29" t="n">
        <v>6585</v>
      </c>
      <c r="C109" s="30" t="s">
        <v>180</v>
      </c>
      <c r="D109" s="31" t="n">
        <v>0</v>
      </c>
      <c r="E109" s="31" t="n">
        <v>0</v>
      </c>
      <c r="F109" s="31" t="n">
        <v>0</v>
      </c>
      <c r="G109" s="31" t="n">
        <v>0</v>
      </c>
      <c r="H109" s="31" t="n">
        <v>0</v>
      </c>
      <c r="I109" s="31" t="n">
        <v>0</v>
      </c>
      <c r="J109" s="31" t="n">
        <v>0</v>
      </c>
      <c r="K109" s="31" t="n">
        <v>0</v>
      </c>
      <c r="L109" s="31" t="n">
        <v>0</v>
      </c>
      <c r="M109" s="31" t="n">
        <v>200000</v>
      </c>
      <c r="N109" s="31" t="n">
        <v>0</v>
      </c>
      <c r="O109" s="31" t="n">
        <v>0</v>
      </c>
      <c r="P109" s="31" t="n">
        <v>0</v>
      </c>
    </row>
    <row r="110" customFormat="false" ht="15" hidden="false" customHeight="false" outlineLevel="0" collapsed="false">
      <c r="B110" s="26" t="n">
        <v>6701</v>
      </c>
      <c r="C110" s="27" t="s">
        <v>181</v>
      </c>
      <c r="D110" s="28" t="n">
        <v>51709.88</v>
      </c>
      <c r="E110" s="28" t="n">
        <v>183917.58</v>
      </c>
      <c r="F110" s="28" t="n">
        <v>266671.94</v>
      </c>
      <c r="G110" s="28" t="n">
        <v>266533.19</v>
      </c>
      <c r="H110" s="28" t="n">
        <v>213899.64</v>
      </c>
      <c r="I110" s="28" t="n">
        <v>357740.48</v>
      </c>
      <c r="J110" s="28" t="n">
        <v>420470.8</v>
      </c>
      <c r="K110" s="28" t="n">
        <v>296205.59</v>
      </c>
      <c r="L110" s="28" t="n">
        <v>-99371.13</v>
      </c>
      <c r="M110" s="28" t="n">
        <v>89449.86</v>
      </c>
      <c r="N110" s="28" t="n">
        <v>289637.48</v>
      </c>
      <c r="O110" s="28" t="n">
        <v>220741.68</v>
      </c>
      <c r="P110" s="28" t="n">
        <v>234102.89</v>
      </c>
    </row>
    <row r="111" customFormat="false" ht="19.5" hidden="false" customHeight="true" outlineLevel="0" collapsed="false">
      <c r="B111" s="24"/>
      <c r="C111" s="24" t="s">
        <v>182</v>
      </c>
      <c r="D111" s="25" t="n">
        <f aca="false">SUM(D112:D132)</f>
        <v>-11792262.1</v>
      </c>
      <c r="E111" s="25" t="n">
        <f aca="false">SUM(E112:E132)</f>
        <v>-11091249.3</v>
      </c>
      <c r="F111" s="25" t="n">
        <f aca="false">SUM(F112:F132)</f>
        <v>-11571719.99</v>
      </c>
      <c r="G111" s="25" t="n">
        <f aca="false">SUM(G112:G132)</f>
        <v>-12863055.97</v>
      </c>
      <c r="H111" s="25" t="n">
        <f aca="false">SUM(H112:H132)</f>
        <v>-12222791.83</v>
      </c>
      <c r="I111" s="25" t="n">
        <f aca="false">SUM(I112:I132)</f>
        <v>-13003271.27</v>
      </c>
      <c r="J111" s="25" t="n">
        <f aca="false">SUM(J112:J132)</f>
        <v>-13363553.25</v>
      </c>
      <c r="K111" s="25" t="n">
        <f aca="false">SUM(K112:K132)</f>
        <v>-12082500.15</v>
      </c>
      <c r="L111" s="25" t="n">
        <f aca="false">SUM(L112:L132)</f>
        <v>-7727789.56</v>
      </c>
      <c r="M111" s="25" t="n">
        <f aca="false">SUM(M112:M132)</f>
        <v>-12372806.72</v>
      </c>
      <c r="N111" s="25" t="n">
        <f aca="false">SUM(N112:N132)</f>
        <v>-13393363.14</v>
      </c>
      <c r="O111" s="25" t="n">
        <f aca="false">SUM(O112:O132)</f>
        <v>-12713042.8</v>
      </c>
      <c r="P111" s="25" t="n">
        <f aca="false">SUM(P112:P132)</f>
        <v>-14164856.03</v>
      </c>
    </row>
    <row r="112" customFormat="false" ht="15" hidden="false" customHeight="false" outlineLevel="0" collapsed="false">
      <c r="B112" s="26" t="n">
        <v>7111</v>
      </c>
      <c r="C112" s="27" t="s">
        <v>183</v>
      </c>
      <c r="D112" s="28" t="n">
        <v>-48759.93</v>
      </c>
      <c r="E112" s="28" t="n">
        <v>-46033.13</v>
      </c>
      <c r="F112" s="28" t="n">
        <v>-47260.36</v>
      </c>
      <c r="G112" s="28" t="n">
        <v>-51367.28</v>
      </c>
      <c r="H112" s="28" t="n">
        <v>-48774.59</v>
      </c>
      <c r="I112" s="28" t="n">
        <v>-54751.3</v>
      </c>
      <c r="J112" s="28" t="n">
        <v>-54310.72</v>
      </c>
      <c r="K112" s="28" t="n">
        <v>-47737.13</v>
      </c>
      <c r="L112" s="28" t="n">
        <v>-31081.64</v>
      </c>
      <c r="M112" s="28" t="n">
        <v>-49725.94</v>
      </c>
      <c r="N112" s="28" t="n">
        <v>-54951.81</v>
      </c>
      <c r="O112" s="28" t="n">
        <v>-53474.87</v>
      </c>
      <c r="P112" s="28" t="n">
        <v>-58145.28</v>
      </c>
    </row>
    <row r="113" customFormat="false" ht="15" hidden="false" customHeight="false" outlineLevel="0" collapsed="false">
      <c r="B113" s="29" t="n">
        <v>7112</v>
      </c>
      <c r="C113" s="30" t="s">
        <v>184</v>
      </c>
      <c r="D113" s="31" t="n">
        <v>0</v>
      </c>
      <c r="E113" s="31" t="n">
        <v>0</v>
      </c>
      <c r="F113" s="31" t="n">
        <v>0</v>
      </c>
      <c r="G113" s="31" t="n">
        <v>0</v>
      </c>
      <c r="H113" s="31" t="n">
        <v>0</v>
      </c>
      <c r="I113" s="31" t="n">
        <v>0</v>
      </c>
      <c r="J113" s="31" t="n">
        <v>0</v>
      </c>
      <c r="K113" s="31" t="n">
        <v>0</v>
      </c>
      <c r="L113" s="31" t="n">
        <v>0</v>
      </c>
      <c r="M113" s="31" t="n">
        <v>0</v>
      </c>
      <c r="N113" s="31" t="n">
        <v>0</v>
      </c>
      <c r="O113" s="31" t="n">
        <v>0</v>
      </c>
      <c r="P113" s="31" t="n">
        <v>0</v>
      </c>
    </row>
    <row r="114" customFormat="false" ht="15" hidden="false" customHeight="false" outlineLevel="0" collapsed="false">
      <c r="B114" s="26" t="n">
        <v>7121</v>
      </c>
      <c r="C114" s="27" t="s">
        <v>185</v>
      </c>
      <c r="D114" s="28" t="n">
        <v>-2946953.74</v>
      </c>
      <c r="E114" s="28" t="n">
        <v>-2763928.34</v>
      </c>
      <c r="F114" s="28" t="n">
        <v>-2951667.92</v>
      </c>
      <c r="G114" s="28" t="n">
        <v>-3320563.04</v>
      </c>
      <c r="H114" s="28" t="n">
        <v>-3076730.52</v>
      </c>
      <c r="I114" s="28" t="n">
        <v>-3256735.58</v>
      </c>
      <c r="J114" s="28" t="n">
        <v>-3413387.52</v>
      </c>
      <c r="K114" s="28" t="n">
        <v>-3143426.13</v>
      </c>
      <c r="L114" s="28" t="n">
        <v>-2000503.68</v>
      </c>
      <c r="M114" s="28" t="n">
        <v>-3213422.78</v>
      </c>
      <c r="N114" s="28" t="n">
        <v>-3456482.59</v>
      </c>
      <c r="O114" s="28" t="n">
        <v>-3211290.27</v>
      </c>
      <c r="P114" s="28" t="n">
        <v>-3805503.17</v>
      </c>
    </row>
    <row r="115" customFormat="false" ht="15" hidden="false" customHeight="false" outlineLevel="0" collapsed="false">
      <c r="B115" s="29" t="n">
        <v>7122</v>
      </c>
      <c r="C115" s="30" t="s">
        <v>186</v>
      </c>
      <c r="D115" s="31" t="n">
        <v>-7321087.4</v>
      </c>
      <c r="E115" s="31" t="n">
        <v>-6901728.7</v>
      </c>
      <c r="F115" s="31" t="n">
        <v>-7073382.54</v>
      </c>
      <c r="G115" s="31" t="n">
        <v>-7761603.13</v>
      </c>
      <c r="H115" s="31" t="n">
        <v>-7580196.71</v>
      </c>
      <c r="I115" s="31" t="n">
        <v>-7994833.41</v>
      </c>
      <c r="J115" s="31" t="n">
        <v>-8019753.83</v>
      </c>
      <c r="K115" s="31" t="n">
        <v>-7232092.27</v>
      </c>
      <c r="L115" s="31" t="n">
        <v>-4606631.15</v>
      </c>
      <c r="M115" s="31" t="n">
        <v>-7606735.29</v>
      </c>
      <c r="N115" s="31" t="n">
        <v>-7982403.34</v>
      </c>
      <c r="O115" s="31" t="n">
        <v>-7762698.25</v>
      </c>
      <c r="P115" s="31" t="n">
        <v>-8785553.55</v>
      </c>
    </row>
    <row r="116" customFormat="false" ht="15" hidden="false" customHeight="false" outlineLevel="0" collapsed="false">
      <c r="B116" s="26" t="n">
        <v>7124</v>
      </c>
      <c r="C116" s="27" t="s">
        <v>187</v>
      </c>
      <c r="D116" s="28" t="n">
        <v>-342093.35</v>
      </c>
      <c r="E116" s="28" t="n">
        <v>-320320.81</v>
      </c>
      <c r="F116" s="28" t="n">
        <v>-325467.32</v>
      </c>
      <c r="G116" s="28" t="n">
        <v>-361115.06</v>
      </c>
      <c r="H116" s="28" t="n">
        <v>-342096.62</v>
      </c>
      <c r="I116" s="28" t="n">
        <v>-379036.66</v>
      </c>
      <c r="J116" s="28" t="n">
        <v>-379789.2</v>
      </c>
      <c r="K116" s="28" t="n">
        <v>-340380.43</v>
      </c>
      <c r="L116" s="28" t="n">
        <v>-225282.65</v>
      </c>
      <c r="M116" s="28" t="n">
        <v>-357041.66</v>
      </c>
      <c r="N116" s="28" t="n">
        <v>-373543.38</v>
      </c>
      <c r="O116" s="28" t="n">
        <v>-370627.47</v>
      </c>
      <c r="P116" s="28" t="n">
        <v>-418977.72</v>
      </c>
    </row>
    <row r="117" customFormat="false" ht="15" hidden="false" customHeight="false" outlineLevel="0" collapsed="false">
      <c r="B117" s="29" t="n">
        <v>7125</v>
      </c>
      <c r="C117" s="30" t="s">
        <v>188</v>
      </c>
      <c r="D117" s="31" t="n">
        <v>-809013.91</v>
      </c>
      <c r="E117" s="31" t="n">
        <v>-737486.24</v>
      </c>
      <c r="F117" s="31" t="n">
        <v>-770483.91</v>
      </c>
      <c r="G117" s="31" t="n">
        <v>-871132.54</v>
      </c>
      <c r="H117" s="31" t="n">
        <v>-819123.03</v>
      </c>
      <c r="I117" s="31" t="n">
        <v>-879509.6</v>
      </c>
      <c r="J117" s="31" t="n">
        <v>-897003.01</v>
      </c>
      <c r="K117" s="31" t="n">
        <v>-803574.75</v>
      </c>
      <c r="L117" s="31" t="n">
        <v>-515447.45</v>
      </c>
      <c r="M117" s="31" t="n">
        <v>-839448.57</v>
      </c>
      <c r="N117" s="31" t="n">
        <v>-897050.31</v>
      </c>
      <c r="O117" s="31" t="n">
        <v>-866973.25</v>
      </c>
      <c r="P117" s="31" t="n">
        <v>-992939.87</v>
      </c>
    </row>
    <row r="118" customFormat="false" ht="15" hidden="false" customHeight="false" outlineLevel="0" collapsed="false">
      <c r="B118" s="26" t="n">
        <v>7126</v>
      </c>
      <c r="C118" s="27" t="s">
        <v>189</v>
      </c>
      <c r="D118" s="28" t="n">
        <v>0</v>
      </c>
      <c r="E118" s="28" t="n">
        <v>0</v>
      </c>
      <c r="F118" s="28" t="n">
        <v>0</v>
      </c>
      <c r="G118" s="28" t="n">
        <v>0</v>
      </c>
      <c r="H118" s="28" t="n">
        <v>0</v>
      </c>
      <c r="I118" s="28" t="n">
        <v>0</v>
      </c>
      <c r="J118" s="28" t="n">
        <v>0</v>
      </c>
      <c r="K118" s="28" t="n">
        <v>0</v>
      </c>
      <c r="L118" s="28" t="n">
        <v>0</v>
      </c>
      <c r="M118" s="28" t="n">
        <v>0</v>
      </c>
      <c r="N118" s="28" t="n">
        <v>0</v>
      </c>
      <c r="O118" s="28" t="n">
        <v>0</v>
      </c>
      <c r="P118" s="28" t="n">
        <v>0</v>
      </c>
    </row>
    <row r="119" customFormat="false" ht="15" hidden="false" customHeight="false" outlineLevel="0" collapsed="false">
      <c r="B119" s="29" t="n">
        <v>7127</v>
      </c>
      <c r="C119" s="30" t="s">
        <v>190</v>
      </c>
      <c r="D119" s="31" t="n">
        <v>-32091.67</v>
      </c>
      <c r="E119" s="31" t="n">
        <v>-30502.78</v>
      </c>
      <c r="F119" s="31" t="n">
        <v>-31737.95</v>
      </c>
      <c r="G119" s="31" t="n">
        <v>-34218.95</v>
      </c>
      <c r="H119" s="31" t="n">
        <v>-33078.53</v>
      </c>
      <c r="I119" s="31" t="n">
        <v>-35133.45</v>
      </c>
      <c r="J119" s="31" t="n">
        <v>-35755.72</v>
      </c>
      <c r="K119" s="31" t="n">
        <v>-32789.29</v>
      </c>
      <c r="L119" s="31" t="n">
        <v>-21053.43</v>
      </c>
      <c r="M119" s="31" t="n">
        <v>-33625.76</v>
      </c>
      <c r="N119" s="31" t="n">
        <v>-35568.57</v>
      </c>
      <c r="O119" s="31" t="n">
        <v>-34935.89</v>
      </c>
      <c r="P119" s="31" t="n">
        <v>-38880.41</v>
      </c>
    </row>
    <row r="120" customFormat="false" ht="15" hidden="false" customHeight="false" outlineLevel="0" collapsed="false">
      <c r="B120" s="26" t="n">
        <v>7132</v>
      </c>
      <c r="C120" s="27" t="s">
        <v>191</v>
      </c>
      <c r="D120" s="28" t="n">
        <v>-100000</v>
      </c>
      <c r="E120" s="28" t="n">
        <v>-100000</v>
      </c>
      <c r="F120" s="28" t="n">
        <v>-200000</v>
      </c>
      <c r="G120" s="28" t="n">
        <v>-200000</v>
      </c>
      <c r="H120" s="28" t="n">
        <v>-100000</v>
      </c>
      <c r="I120" s="28" t="n">
        <v>-200000</v>
      </c>
      <c r="J120" s="28" t="n">
        <v>-100000</v>
      </c>
      <c r="K120" s="28" t="n">
        <v>-300000</v>
      </c>
      <c r="L120" s="28" t="n">
        <v>-200000</v>
      </c>
      <c r="M120" s="28" t="n">
        <v>100000</v>
      </c>
      <c r="N120" s="28" t="n">
        <v>-100000</v>
      </c>
      <c r="O120" s="28" t="n">
        <v>-200000</v>
      </c>
      <c r="P120" s="28" t="n">
        <v>400000</v>
      </c>
    </row>
    <row r="121" customFormat="false" ht="15" hidden="false" customHeight="false" outlineLevel="0" collapsed="false">
      <c r="B121" s="29" t="n">
        <v>7140</v>
      </c>
      <c r="C121" s="30" t="s">
        <v>192</v>
      </c>
      <c r="D121" s="31" t="n">
        <v>0</v>
      </c>
      <c r="E121" s="31" t="n">
        <v>0</v>
      </c>
      <c r="F121" s="31" t="n">
        <v>0</v>
      </c>
      <c r="G121" s="31" t="n">
        <v>0</v>
      </c>
      <c r="H121" s="31" t="n">
        <v>0</v>
      </c>
      <c r="I121" s="31" t="n">
        <v>0</v>
      </c>
      <c r="J121" s="31" t="n">
        <v>0</v>
      </c>
      <c r="K121" s="31" t="n">
        <v>0</v>
      </c>
      <c r="L121" s="31" t="n">
        <v>0</v>
      </c>
      <c r="M121" s="31" t="n">
        <v>0</v>
      </c>
      <c r="N121" s="31" t="n">
        <v>0</v>
      </c>
      <c r="O121" s="31" t="n">
        <v>0</v>
      </c>
      <c r="P121" s="31" t="n">
        <v>0</v>
      </c>
    </row>
    <row r="122" customFormat="false" ht="15" hidden="false" customHeight="false" outlineLevel="0" collapsed="false">
      <c r="B122" s="26" t="n">
        <v>7161</v>
      </c>
      <c r="C122" s="27" t="s">
        <v>193</v>
      </c>
      <c r="D122" s="28" t="n">
        <v>0</v>
      </c>
      <c r="E122" s="28" t="n">
        <v>0</v>
      </c>
      <c r="F122" s="28" t="n">
        <v>0</v>
      </c>
      <c r="G122" s="28" t="n">
        <v>0</v>
      </c>
      <c r="H122" s="28" t="n">
        <v>0</v>
      </c>
      <c r="I122" s="28" t="n">
        <v>0</v>
      </c>
      <c r="J122" s="28" t="n">
        <v>-250000</v>
      </c>
      <c r="K122" s="28" t="n">
        <v>0</v>
      </c>
      <c r="L122" s="28" t="n">
        <v>0</v>
      </c>
      <c r="M122" s="28" t="n">
        <v>0</v>
      </c>
      <c r="N122" s="28" t="n">
        <v>0</v>
      </c>
      <c r="O122" s="28" t="n">
        <v>0</v>
      </c>
      <c r="P122" s="28" t="n">
        <v>-250000</v>
      </c>
    </row>
    <row r="123" customFormat="false" ht="15" hidden="false" customHeight="false" outlineLevel="0" collapsed="false">
      <c r="B123" s="29" t="n">
        <v>7182</v>
      </c>
      <c r="C123" s="30" t="s">
        <v>194</v>
      </c>
      <c r="D123" s="31" t="n">
        <v>-41666.67</v>
      </c>
      <c r="E123" s="31" t="n">
        <v>-41666.67</v>
      </c>
      <c r="F123" s="31" t="n">
        <v>-41666.67</v>
      </c>
      <c r="G123" s="31" t="n">
        <v>-41666.67</v>
      </c>
      <c r="H123" s="31" t="n">
        <v>-41666.67</v>
      </c>
      <c r="I123" s="31" t="n">
        <v>-41666.67</v>
      </c>
      <c r="J123" s="31" t="n">
        <v>-41666.67</v>
      </c>
      <c r="K123" s="31" t="n">
        <v>-41666.67</v>
      </c>
      <c r="L123" s="31" t="n">
        <v>-41666.67</v>
      </c>
      <c r="M123" s="31" t="n">
        <v>-41666.67</v>
      </c>
      <c r="N123" s="31" t="n">
        <v>-41666.67</v>
      </c>
      <c r="O123" s="31" t="n">
        <v>-41666.67</v>
      </c>
      <c r="P123" s="31" t="n">
        <v>-41666.67</v>
      </c>
    </row>
    <row r="124" customFormat="false" ht="15" hidden="false" customHeight="false" outlineLevel="0" collapsed="false">
      <c r="B124" s="26" t="n">
        <v>7196</v>
      </c>
      <c r="C124" s="27" t="s">
        <v>195</v>
      </c>
      <c r="D124" s="28" t="n">
        <v>0</v>
      </c>
      <c r="E124" s="28" t="n">
        <v>0</v>
      </c>
      <c r="F124" s="28" t="n">
        <v>0</v>
      </c>
      <c r="G124" s="28" t="n">
        <v>-150000</v>
      </c>
      <c r="H124" s="28" t="n">
        <v>0</v>
      </c>
      <c r="I124" s="28" t="n">
        <v>0</v>
      </c>
      <c r="J124" s="28" t="n">
        <v>0</v>
      </c>
      <c r="K124" s="28" t="n">
        <v>0</v>
      </c>
      <c r="L124" s="28" t="n">
        <v>0</v>
      </c>
      <c r="M124" s="28" t="n">
        <v>-150000</v>
      </c>
      <c r="N124" s="28" t="n">
        <v>0</v>
      </c>
      <c r="O124" s="28" t="n">
        <v>0</v>
      </c>
      <c r="P124" s="28" t="n">
        <v>0</v>
      </c>
    </row>
    <row r="125" customFormat="false" ht="15" hidden="false" customHeight="false" outlineLevel="0" collapsed="false">
      <c r="B125" s="29" t="n">
        <v>7197</v>
      </c>
      <c r="C125" s="30" t="s">
        <v>196</v>
      </c>
      <c r="D125" s="31" t="n">
        <v>0</v>
      </c>
      <c r="E125" s="31" t="n">
        <v>0</v>
      </c>
      <c r="F125" s="31" t="n">
        <v>0</v>
      </c>
      <c r="G125" s="31" t="n">
        <v>0</v>
      </c>
      <c r="H125" s="31" t="n">
        <v>0</v>
      </c>
      <c r="I125" s="31" t="n">
        <v>0</v>
      </c>
      <c r="J125" s="31" t="n">
        <v>0</v>
      </c>
      <c r="K125" s="31" t="n">
        <v>0</v>
      </c>
      <c r="L125" s="31" t="n">
        <v>0</v>
      </c>
      <c r="M125" s="31" t="n">
        <v>0</v>
      </c>
      <c r="N125" s="31" t="n">
        <v>0</v>
      </c>
      <c r="O125" s="31" t="n">
        <v>0</v>
      </c>
      <c r="P125" s="31" t="n">
        <v>0</v>
      </c>
    </row>
    <row r="126" customFormat="false" ht="15" hidden="false" customHeight="false" outlineLevel="0" collapsed="false">
      <c r="B126" s="26" t="n">
        <v>7321</v>
      </c>
      <c r="C126" s="27" t="s">
        <v>197</v>
      </c>
      <c r="D126" s="28" t="n">
        <v>0</v>
      </c>
      <c r="E126" s="28" t="n">
        <v>0</v>
      </c>
      <c r="F126" s="28" t="n">
        <v>0</v>
      </c>
      <c r="G126" s="28" t="n">
        <v>0</v>
      </c>
      <c r="H126" s="28" t="n">
        <v>0</v>
      </c>
      <c r="I126" s="28" t="n">
        <v>0</v>
      </c>
      <c r="J126" s="28" t="n">
        <v>0</v>
      </c>
      <c r="K126" s="28" t="n">
        <v>0</v>
      </c>
      <c r="L126" s="28" t="n">
        <v>0</v>
      </c>
      <c r="M126" s="28" t="n">
        <v>0</v>
      </c>
      <c r="N126" s="28" t="n">
        <v>0</v>
      </c>
      <c r="O126" s="28" t="n">
        <v>0</v>
      </c>
      <c r="P126" s="28" t="n">
        <v>0</v>
      </c>
    </row>
    <row r="127" customFormat="false" ht="15" hidden="false" customHeight="false" outlineLevel="0" collapsed="false">
      <c r="B127" s="29" t="n">
        <v>7331</v>
      </c>
      <c r="C127" s="30" t="s">
        <v>198</v>
      </c>
      <c r="D127" s="31" t="n">
        <v>-120000</v>
      </c>
      <c r="E127" s="31" t="n">
        <v>-120000</v>
      </c>
      <c r="F127" s="31" t="n">
        <v>-100000</v>
      </c>
      <c r="G127" s="31" t="n">
        <v>-40000</v>
      </c>
      <c r="H127" s="31" t="n">
        <v>-150000</v>
      </c>
      <c r="I127" s="31" t="n">
        <v>-130000</v>
      </c>
      <c r="J127" s="31" t="n">
        <v>-140000</v>
      </c>
      <c r="K127" s="31" t="n">
        <v>-110000</v>
      </c>
      <c r="L127" s="31" t="n">
        <v>-60000</v>
      </c>
      <c r="M127" s="31" t="n">
        <v>-150000</v>
      </c>
      <c r="N127" s="31" t="n">
        <v>-120000</v>
      </c>
      <c r="O127" s="31" t="n">
        <v>-140000</v>
      </c>
      <c r="P127" s="31" t="n">
        <v>-140000</v>
      </c>
    </row>
    <row r="128" customFormat="false" ht="15" hidden="false" customHeight="false" outlineLevel="0" collapsed="false">
      <c r="B128" s="26" t="n">
        <v>7381</v>
      </c>
      <c r="C128" s="27" t="s">
        <v>199</v>
      </c>
      <c r="D128" s="28" t="n">
        <v>-8333.33</v>
      </c>
      <c r="E128" s="28" t="n">
        <v>-8333.33</v>
      </c>
      <c r="F128" s="28" t="n">
        <v>-8333.33</v>
      </c>
      <c r="G128" s="28" t="n">
        <v>-8333.33</v>
      </c>
      <c r="H128" s="28" t="n">
        <v>-8333.33</v>
      </c>
      <c r="I128" s="28" t="n">
        <v>-8333.33</v>
      </c>
      <c r="J128" s="28" t="n">
        <v>-8333.33</v>
      </c>
      <c r="K128" s="28" t="n">
        <v>-8333.33</v>
      </c>
      <c r="L128" s="28" t="n">
        <v>-8333.33</v>
      </c>
      <c r="M128" s="28" t="n">
        <v>-8333.33</v>
      </c>
      <c r="N128" s="28" t="n">
        <v>-8333.33</v>
      </c>
      <c r="O128" s="28" t="n">
        <v>-8333.33</v>
      </c>
      <c r="P128" s="28" t="n">
        <v>-8333.33</v>
      </c>
    </row>
    <row r="129" customFormat="false" ht="15" hidden="false" customHeight="false" outlineLevel="0" collapsed="false">
      <c r="B129" s="29" t="n">
        <v>7386</v>
      </c>
      <c r="C129" s="30" t="s">
        <v>200</v>
      </c>
      <c r="D129" s="31" t="n">
        <v>-12262.1</v>
      </c>
      <c r="E129" s="31" t="n">
        <v>-11249.3</v>
      </c>
      <c r="F129" s="31" t="n">
        <v>-11719.99</v>
      </c>
      <c r="G129" s="31" t="n">
        <v>-13055.97</v>
      </c>
      <c r="H129" s="31" t="n">
        <v>-12791.83</v>
      </c>
      <c r="I129" s="31" t="n">
        <v>-13271.27</v>
      </c>
      <c r="J129" s="31" t="n">
        <v>-13553.25</v>
      </c>
      <c r="K129" s="31" t="n">
        <v>-12500.15</v>
      </c>
      <c r="L129" s="31" t="n">
        <v>-7789.56</v>
      </c>
      <c r="M129" s="31" t="n">
        <v>-12806.72</v>
      </c>
      <c r="N129" s="31" t="n">
        <v>-13363.14</v>
      </c>
      <c r="O129" s="31" t="n">
        <v>-13042.8</v>
      </c>
      <c r="P129" s="31" t="n">
        <v>-14856.03</v>
      </c>
    </row>
    <row r="130" customFormat="false" ht="15" hidden="false" customHeight="false" outlineLevel="0" collapsed="false">
      <c r="B130" s="26" t="n">
        <v>7513</v>
      </c>
      <c r="C130" s="27" t="s">
        <v>201</v>
      </c>
      <c r="D130" s="28" t="n">
        <v>0</v>
      </c>
      <c r="E130" s="28" t="n">
        <v>0</v>
      </c>
      <c r="F130" s="28" t="n">
        <v>0</v>
      </c>
      <c r="G130" s="28" t="n">
        <v>0</v>
      </c>
      <c r="H130" s="28" t="n">
        <v>0</v>
      </c>
      <c r="I130" s="28" t="n">
        <v>0</v>
      </c>
      <c r="J130" s="28" t="n">
        <v>0</v>
      </c>
      <c r="K130" s="28" t="n">
        <v>0</v>
      </c>
      <c r="L130" s="28" t="n">
        <v>0</v>
      </c>
      <c r="M130" s="28" t="n">
        <v>0</v>
      </c>
      <c r="N130" s="28" t="n">
        <v>-300000</v>
      </c>
      <c r="O130" s="28" t="n">
        <v>0</v>
      </c>
      <c r="P130" s="28" t="n">
        <v>0</v>
      </c>
    </row>
    <row r="131" customFormat="false" ht="15" hidden="false" customHeight="false" outlineLevel="0" collapsed="false">
      <c r="B131" s="29" t="n">
        <v>7577</v>
      </c>
      <c r="C131" s="30" t="s">
        <v>202</v>
      </c>
      <c r="D131" s="31" t="n">
        <v>-10000</v>
      </c>
      <c r="E131" s="31" t="n">
        <v>-10000</v>
      </c>
      <c r="F131" s="31" t="n">
        <v>-10000</v>
      </c>
      <c r="G131" s="31" t="n">
        <v>-10000</v>
      </c>
      <c r="H131" s="31" t="n">
        <v>-10000</v>
      </c>
      <c r="I131" s="31" t="n">
        <v>-10000</v>
      </c>
      <c r="J131" s="31" t="n">
        <v>-10000</v>
      </c>
      <c r="K131" s="31" t="n">
        <v>-10000</v>
      </c>
      <c r="L131" s="31" t="n">
        <v>-10000</v>
      </c>
      <c r="M131" s="31" t="n">
        <v>-10000</v>
      </c>
      <c r="N131" s="31" t="n">
        <v>-10000</v>
      </c>
      <c r="O131" s="31" t="n">
        <v>-10000</v>
      </c>
      <c r="P131" s="31" t="n">
        <v>-10000</v>
      </c>
    </row>
    <row r="132" customFormat="false" ht="15" hidden="false" customHeight="false" outlineLevel="0" collapsed="false">
      <c r="B132" s="26" t="n">
        <v>7581</v>
      </c>
      <c r="C132" s="27" t="s">
        <v>203</v>
      </c>
      <c r="D132" s="28" t="n">
        <v>0</v>
      </c>
      <c r="E132" s="28" t="n">
        <v>0</v>
      </c>
      <c r="F132" s="28" t="n">
        <v>0</v>
      </c>
      <c r="G132" s="28" t="n">
        <v>0</v>
      </c>
      <c r="H132" s="28" t="n">
        <v>0</v>
      </c>
      <c r="I132" s="28" t="n">
        <v>0</v>
      </c>
      <c r="J132" s="28" t="n">
        <v>0</v>
      </c>
      <c r="K132" s="28" t="n">
        <v>0</v>
      </c>
      <c r="L132" s="28" t="n">
        <v>0</v>
      </c>
      <c r="M132" s="28" t="n">
        <v>0</v>
      </c>
      <c r="N132" s="28" t="n">
        <v>0</v>
      </c>
      <c r="O132" s="28" t="n">
        <v>0</v>
      </c>
      <c r="P132" s="28" t="n">
        <v>0</v>
      </c>
    </row>
    <row r="134" customFormat="false" ht="30" hidden="false" customHeight="true" outlineLevel="0" collapsed="false">
      <c r="C134" s="32" t="s">
        <v>204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</row>
  </sheetData>
  <mergeCells count="4">
    <mergeCell ref="B1:P1"/>
    <mergeCell ref="B2:P2"/>
    <mergeCell ref="B3:P3"/>
    <mergeCell ref="C134:P134"/>
  </mergeCells>
  <conditionalFormatting sqref="D5:P5">
    <cfRule type="expression" priority="2" aboveAverage="0" equalAverage="0" bottom="0" percent="0" rank="0" text="" dxfId="0">
      <formula>ABS(D5)&lt;0.01</formula>
    </cfRule>
    <cfRule type="expression" priority="3" aboveAverage="0" equalAverage="0" bottom="0" percent="0" rank="0" text="" dxfId="1">
      <formula>ABS(D5)&gt;=0.01</formula>
    </cfRule>
  </conditionalFormatting>
  <hyperlinks>
    <hyperlink ref="B4" location="'Accueil'!A1" display="← Accueil"/>
  </hyperlinks>
  <printOptions headings="false" gridLines="false" gridLinesSet="true" horizontalCentered="true" verticalCentered="false"/>
  <pageMargins left="0.4" right="0.4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&amp;L&amp;"Calibri,Bold"AéroAtlas Composites SARL&amp;CExercice 2025 — Arrêté au 31/12/2025&amp;RResp. : Karim El Fassi (DAF)</oddHeader>
    <oddFooter>&amp;L&amp;A&amp;C&amp;"Calibri,Bold"Document confidentiel&amp;RPage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E3A"/>
    <pageSetUpPr fitToPage="true"/>
  </sheetPr>
  <dimension ref="B1:Q6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746093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16" min="4" style="0" width="19.51"/>
    <col collapsed="false" customWidth="true" hidden="false" outlineLevel="0" max="17" min="17" style="0" width="21"/>
  </cols>
  <sheetData>
    <row r="1" customFormat="false" ht="33.75" hidden="false" customHeight="true" outlineLevel="0" collapsed="false">
      <c r="B1" s="1" t="s">
        <v>205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2" t="str">
        <f aca="false">"Société : "&amp;Accueil!$C$8&amp;"     │     Exercice : "&amp;Accueil!$C$11&amp;"     │     Date d'arrêté : "&amp;Accueil!$C$12&amp;"     │     Responsable : "&amp;Accueil!$C$15</f>
        <v>Société : AéroAtlas Composites SARL     │     Exercice : 2025     │     Date d'arrêté : 31/12/2025     │     Responsable : Karim El Fassi (DAF)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3.75" hidden="false" customHeight="true" outlineLevel="0" collapsed="false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18" hidden="false" customHeight="true" outlineLevel="0" collapsed="false">
      <c r="B4" s="20" t="s">
        <v>60</v>
      </c>
      <c r="C4" s="4" t="s">
        <v>206</v>
      </c>
    </row>
    <row r="6" customFormat="false" ht="30" hidden="false" customHeight="true" outlineLevel="0" collapsed="false">
      <c r="B6" s="12" t="s">
        <v>207</v>
      </c>
      <c r="C6" s="12" t="s">
        <v>208</v>
      </c>
      <c r="D6" s="12" t="s">
        <v>65</v>
      </c>
      <c r="E6" s="12" t="s">
        <v>66</v>
      </c>
      <c r="F6" s="12" t="s">
        <v>67</v>
      </c>
      <c r="G6" s="12" t="s">
        <v>68</v>
      </c>
      <c r="H6" s="12" t="s">
        <v>69</v>
      </c>
      <c r="I6" s="12" t="s">
        <v>70</v>
      </c>
      <c r="J6" s="12" t="s">
        <v>71</v>
      </c>
      <c r="K6" s="12" t="s">
        <v>72</v>
      </c>
      <c r="L6" s="12" t="s">
        <v>73</v>
      </c>
      <c r="M6" s="12" t="s">
        <v>74</v>
      </c>
      <c r="N6" s="12" t="s">
        <v>75</v>
      </c>
      <c r="O6" s="12" t="s">
        <v>76</v>
      </c>
      <c r="P6" s="12" t="s">
        <v>77</v>
      </c>
      <c r="Q6" s="12" t="s">
        <v>209</v>
      </c>
    </row>
    <row r="7" customFormat="false" ht="21.75" hidden="false" customHeight="true" outlineLevel="0" collapsed="false">
      <c r="B7" s="33" t="s">
        <v>210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</row>
    <row r="8" customFormat="false" ht="15" hidden="false" customHeight="false" outlineLevel="0" collapsed="false">
      <c r="B8" s="34" t="s">
        <v>211</v>
      </c>
    </row>
    <row r="9" customFormat="false" ht="15" hidden="false" customHeight="false" outlineLevel="0" collapsed="false">
      <c r="B9" s="19" t="s">
        <v>212</v>
      </c>
      <c r="C9" s="35" t="s">
        <v>213</v>
      </c>
      <c r="D9" s="36" t="n">
        <f aca="false">-SUMPRODUCT(((LEFT(Balance!$B$7:$B$400,3)="711"))*Balance!D$7:D$400)</f>
        <v>48759.93</v>
      </c>
      <c r="E9" s="37" t="n">
        <f aca="false">-SUMPRODUCT(((LEFT(Balance!$B$7:$B$400,3)="711"))*Balance!E$7:E$400)</f>
        <v>46033.13</v>
      </c>
      <c r="F9" s="37" t="n">
        <f aca="false">-SUMPRODUCT(((LEFT(Balance!$B$7:$B$400,3)="711"))*Balance!F$7:F$400)</f>
        <v>47260.36</v>
      </c>
      <c r="G9" s="37" t="n">
        <f aca="false">-SUMPRODUCT(((LEFT(Balance!$B$7:$B$400,3)="711"))*Balance!G$7:G$400)</f>
        <v>51367.28</v>
      </c>
      <c r="H9" s="37" t="n">
        <f aca="false">-SUMPRODUCT(((LEFT(Balance!$B$7:$B$400,3)="711"))*Balance!H$7:H$400)</f>
        <v>48774.59</v>
      </c>
      <c r="I9" s="37" t="n">
        <f aca="false">-SUMPRODUCT(((LEFT(Balance!$B$7:$B$400,3)="711"))*Balance!I$7:I$400)</f>
        <v>54751.3</v>
      </c>
      <c r="J9" s="37" t="n">
        <f aca="false">-SUMPRODUCT(((LEFT(Balance!$B$7:$B$400,3)="711"))*Balance!J$7:J$400)</f>
        <v>54310.72</v>
      </c>
      <c r="K9" s="37" t="n">
        <f aca="false">-SUMPRODUCT(((LEFT(Balance!$B$7:$B$400,3)="711"))*Balance!K$7:K$400)</f>
        <v>47737.13</v>
      </c>
      <c r="L9" s="37" t="n">
        <f aca="false">-SUMPRODUCT(((LEFT(Balance!$B$7:$B$400,3)="711"))*Balance!L$7:L$400)</f>
        <v>31081.64</v>
      </c>
      <c r="M9" s="37" t="n">
        <f aca="false">-SUMPRODUCT(((LEFT(Balance!$B$7:$B$400,3)="711"))*Balance!M$7:M$400)</f>
        <v>49725.94</v>
      </c>
      <c r="N9" s="37" t="n">
        <f aca="false">-SUMPRODUCT(((LEFT(Balance!$B$7:$B$400,3)="711"))*Balance!N$7:N$400)</f>
        <v>54951.81</v>
      </c>
      <c r="O9" s="37" t="n">
        <f aca="false">-SUMPRODUCT(((LEFT(Balance!$B$7:$B$400,3)="711"))*Balance!O$7:O$400)</f>
        <v>53474.87</v>
      </c>
      <c r="P9" s="37" t="n">
        <f aca="false">-SUMPRODUCT(((LEFT(Balance!$B$7:$B$400,3)="711"))*Balance!P$7:P$400)</f>
        <v>58145.28</v>
      </c>
      <c r="Q9" s="38" t="n">
        <f aca="false">SUM(E9:P9)</f>
        <v>597614.05</v>
      </c>
    </row>
    <row r="10" customFormat="false" ht="15" hidden="false" customHeight="false" outlineLevel="0" collapsed="false">
      <c r="B10" s="19" t="s">
        <v>214</v>
      </c>
      <c r="C10" s="35" t="s">
        <v>215</v>
      </c>
      <c r="D10" s="36" t="n">
        <f aca="false">-SUMPRODUCT(((LEFT(Balance!$B$7:$B$400,3)="712"))*Balance!D$7:D$400)</f>
        <v>11451240.07</v>
      </c>
      <c r="E10" s="37" t="n">
        <f aca="false">-SUMPRODUCT(((LEFT(Balance!$B$7:$B$400,3)="712"))*Balance!E$7:E$400)</f>
        <v>10753966.87</v>
      </c>
      <c r="F10" s="37" t="n">
        <f aca="false">-SUMPRODUCT(((LEFT(Balance!$B$7:$B$400,3)="712"))*Balance!F$7:F$400)</f>
        <v>11152739.64</v>
      </c>
      <c r="G10" s="37" t="n">
        <f aca="false">-SUMPRODUCT(((LEFT(Balance!$B$7:$B$400,3)="712"))*Balance!G$7:G$400)</f>
        <v>12348632.72</v>
      </c>
      <c r="H10" s="37" t="n">
        <f aca="false">-SUMPRODUCT(((LEFT(Balance!$B$7:$B$400,3)="712"))*Balance!H$7:H$400)</f>
        <v>11851225.41</v>
      </c>
      <c r="I10" s="37" t="n">
        <f aca="false">-SUMPRODUCT(((LEFT(Balance!$B$7:$B$400,3)="712"))*Balance!I$7:I$400)</f>
        <v>12545248.7</v>
      </c>
      <c r="J10" s="37" t="n">
        <f aca="false">-SUMPRODUCT(((LEFT(Balance!$B$7:$B$400,3)="712"))*Balance!J$7:J$400)</f>
        <v>12745689.28</v>
      </c>
      <c r="K10" s="37" t="n">
        <f aca="false">-SUMPRODUCT(((LEFT(Balance!$B$7:$B$400,3)="712"))*Balance!K$7:K$400)</f>
        <v>11552262.87</v>
      </c>
      <c r="L10" s="37" t="n">
        <f aca="false">-SUMPRODUCT(((LEFT(Balance!$B$7:$B$400,3)="712"))*Balance!L$7:L$400)</f>
        <v>7368918.36</v>
      </c>
      <c r="M10" s="37" t="n">
        <f aca="false">-SUMPRODUCT(((LEFT(Balance!$B$7:$B$400,3)="712"))*Balance!M$7:M$400)</f>
        <v>12050274.06</v>
      </c>
      <c r="N10" s="37" t="n">
        <f aca="false">-SUMPRODUCT(((LEFT(Balance!$B$7:$B$400,3)="712"))*Balance!N$7:N$400)</f>
        <v>12745048.19</v>
      </c>
      <c r="O10" s="37" t="n">
        <f aca="false">-SUMPRODUCT(((LEFT(Balance!$B$7:$B$400,3)="712"))*Balance!O$7:O$400)</f>
        <v>12246525.13</v>
      </c>
      <c r="P10" s="37" t="n">
        <f aca="false">-SUMPRODUCT(((LEFT(Balance!$B$7:$B$400,3)="712"))*Balance!P$7:P$400)</f>
        <v>14041854.72</v>
      </c>
      <c r="Q10" s="38" t="n">
        <f aca="false">SUM(E10:P10)</f>
        <v>141402385.95</v>
      </c>
    </row>
    <row r="11" customFormat="false" ht="15" hidden="false" customHeight="false" outlineLevel="0" collapsed="false">
      <c r="B11" s="39" t="s">
        <v>216</v>
      </c>
      <c r="C11" s="35" t="s">
        <v>217</v>
      </c>
      <c r="D11" s="36" t="n">
        <f aca="false">D9+D10</f>
        <v>11500000</v>
      </c>
      <c r="E11" s="40" t="n">
        <f aca="false">E9+E10</f>
        <v>10800000</v>
      </c>
      <c r="F11" s="40" t="n">
        <f aca="false">F9+F10</f>
        <v>11200000</v>
      </c>
      <c r="G11" s="40" t="n">
        <f aca="false">G9+G10</f>
        <v>12400000</v>
      </c>
      <c r="H11" s="40" t="n">
        <f aca="false">H9+H10</f>
        <v>11900000</v>
      </c>
      <c r="I11" s="40" t="n">
        <f aca="false">I9+I10</f>
        <v>12600000</v>
      </c>
      <c r="J11" s="40" t="n">
        <f aca="false">J9+J10</f>
        <v>12800000</v>
      </c>
      <c r="K11" s="40" t="n">
        <f aca="false">K9+K10</f>
        <v>11600000</v>
      </c>
      <c r="L11" s="40" t="n">
        <f aca="false">L9+L10</f>
        <v>7400000</v>
      </c>
      <c r="M11" s="40" t="n">
        <f aca="false">M9+M10</f>
        <v>12100000</v>
      </c>
      <c r="N11" s="40" t="n">
        <f aca="false">N9+N10</f>
        <v>12800000</v>
      </c>
      <c r="O11" s="40" t="n">
        <f aca="false">O9+O10</f>
        <v>12300000</v>
      </c>
      <c r="P11" s="40" t="n">
        <f aca="false">P9+P10</f>
        <v>14100000</v>
      </c>
      <c r="Q11" s="40" t="n">
        <f aca="false">SUM(E11:P11)</f>
        <v>142000000</v>
      </c>
    </row>
    <row r="12" customFormat="false" ht="15" hidden="false" customHeight="false" outlineLevel="0" collapsed="false">
      <c r="B12" s="19" t="s">
        <v>218</v>
      </c>
      <c r="C12" s="35" t="s">
        <v>219</v>
      </c>
      <c r="D12" s="36" t="n">
        <f aca="false">-SUMPRODUCT(((LEFT(Balance!$B$7:$B$400,3)="713"))*Balance!D$7:D$400)</f>
        <v>100000</v>
      </c>
      <c r="E12" s="37" t="n">
        <f aca="false">-SUMPRODUCT(((LEFT(Balance!$B$7:$B$400,3)="713"))*Balance!E$7:E$400)</f>
        <v>100000</v>
      </c>
      <c r="F12" s="37" t="n">
        <f aca="false">-SUMPRODUCT(((LEFT(Balance!$B$7:$B$400,3)="713"))*Balance!F$7:F$400)</f>
        <v>200000</v>
      </c>
      <c r="G12" s="37" t="n">
        <f aca="false">-SUMPRODUCT(((LEFT(Balance!$B$7:$B$400,3)="713"))*Balance!G$7:G$400)</f>
        <v>200000</v>
      </c>
      <c r="H12" s="37" t="n">
        <f aca="false">-SUMPRODUCT(((LEFT(Balance!$B$7:$B$400,3)="713"))*Balance!H$7:H$400)</f>
        <v>100000</v>
      </c>
      <c r="I12" s="37" t="n">
        <f aca="false">-SUMPRODUCT(((LEFT(Balance!$B$7:$B$400,3)="713"))*Balance!I$7:I$400)</f>
        <v>200000</v>
      </c>
      <c r="J12" s="37" t="n">
        <f aca="false">-SUMPRODUCT(((LEFT(Balance!$B$7:$B$400,3)="713"))*Balance!J$7:J$400)</f>
        <v>100000</v>
      </c>
      <c r="K12" s="37" t="n">
        <f aca="false">-SUMPRODUCT(((LEFT(Balance!$B$7:$B$400,3)="713"))*Balance!K$7:K$400)</f>
        <v>300000</v>
      </c>
      <c r="L12" s="37" t="n">
        <f aca="false">-SUMPRODUCT(((LEFT(Balance!$B$7:$B$400,3)="713"))*Balance!L$7:L$400)</f>
        <v>200000</v>
      </c>
      <c r="M12" s="37" t="n">
        <f aca="false">-SUMPRODUCT(((LEFT(Balance!$B$7:$B$400,3)="713"))*Balance!M$7:M$400)</f>
        <v>-100000</v>
      </c>
      <c r="N12" s="37" t="n">
        <f aca="false">-SUMPRODUCT(((LEFT(Balance!$B$7:$B$400,3)="713"))*Balance!N$7:N$400)</f>
        <v>100000</v>
      </c>
      <c r="O12" s="37" t="n">
        <f aca="false">-SUMPRODUCT(((LEFT(Balance!$B$7:$B$400,3)="713"))*Balance!O$7:O$400)</f>
        <v>200000</v>
      </c>
      <c r="P12" s="37" t="n">
        <f aca="false">-SUMPRODUCT(((LEFT(Balance!$B$7:$B$400,3)="713"))*Balance!P$7:P$400)</f>
        <v>-400000</v>
      </c>
      <c r="Q12" s="38" t="n">
        <f aca="false">SUM(E12:P12)</f>
        <v>1200000</v>
      </c>
    </row>
    <row r="13" customFormat="false" ht="15" hidden="false" customHeight="false" outlineLevel="0" collapsed="false">
      <c r="B13" s="19" t="s">
        <v>192</v>
      </c>
      <c r="C13" s="35" t="s">
        <v>220</v>
      </c>
      <c r="D13" s="36" t="n">
        <f aca="false">-SUMPRODUCT(((LEFT(Balance!$B$7:$B$400,3)="714"))*Balance!D$7:D$400)</f>
        <v>-0</v>
      </c>
      <c r="E13" s="37" t="n">
        <f aca="false">-SUMPRODUCT(((LEFT(Balance!$B$7:$B$400,3)="714"))*Balance!E$7:E$400)</f>
        <v>-0</v>
      </c>
      <c r="F13" s="37" t="n">
        <f aca="false">-SUMPRODUCT(((LEFT(Balance!$B$7:$B$400,3)="714"))*Balance!F$7:F$400)</f>
        <v>-0</v>
      </c>
      <c r="G13" s="37" t="n">
        <f aca="false">-SUMPRODUCT(((LEFT(Balance!$B$7:$B$400,3)="714"))*Balance!G$7:G$400)</f>
        <v>-0</v>
      </c>
      <c r="H13" s="37" t="n">
        <f aca="false">-SUMPRODUCT(((LEFT(Balance!$B$7:$B$400,3)="714"))*Balance!H$7:H$400)</f>
        <v>-0</v>
      </c>
      <c r="I13" s="37" t="n">
        <f aca="false">-SUMPRODUCT(((LEFT(Balance!$B$7:$B$400,3)="714"))*Balance!I$7:I$400)</f>
        <v>-0</v>
      </c>
      <c r="J13" s="37" t="n">
        <f aca="false">-SUMPRODUCT(((LEFT(Balance!$B$7:$B$400,3)="714"))*Balance!J$7:J$400)</f>
        <v>-0</v>
      </c>
      <c r="K13" s="37" t="n">
        <f aca="false">-SUMPRODUCT(((LEFT(Balance!$B$7:$B$400,3)="714"))*Balance!K$7:K$400)</f>
        <v>-0</v>
      </c>
      <c r="L13" s="37" t="n">
        <f aca="false">-SUMPRODUCT(((LEFT(Balance!$B$7:$B$400,3)="714"))*Balance!L$7:L$400)</f>
        <v>-0</v>
      </c>
      <c r="M13" s="37" t="n">
        <f aca="false">-SUMPRODUCT(((LEFT(Balance!$B$7:$B$400,3)="714"))*Balance!M$7:M$400)</f>
        <v>-0</v>
      </c>
      <c r="N13" s="37" t="n">
        <f aca="false">-SUMPRODUCT(((LEFT(Balance!$B$7:$B$400,3)="714"))*Balance!N$7:N$400)</f>
        <v>-0</v>
      </c>
      <c r="O13" s="37" t="n">
        <f aca="false">-SUMPRODUCT(((LEFT(Balance!$B$7:$B$400,3)="714"))*Balance!O$7:O$400)</f>
        <v>-0</v>
      </c>
      <c r="P13" s="37" t="n">
        <f aca="false">-SUMPRODUCT(((LEFT(Balance!$B$7:$B$400,3)="714"))*Balance!P$7:P$400)</f>
        <v>-0</v>
      </c>
      <c r="Q13" s="38" t="n">
        <f aca="false">SUM(E13:P13)</f>
        <v>0</v>
      </c>
    </row>
    <row r="14" customFormat="false" ht="15" hidden="false" customHeight="false" outlineLevel="0" collapsed="false">
      <c r="B14" s="19" t="s">
        <v>221</v>
      </c>
      <c r="C14" s="35" t="s">
        <v>222</v>
      </c>
      <c r="D14" s="36" t="n">
        <f aca="false">-SUMPRODUCT(((LEFT(Balance!$B$7:$B$400,3)="716"))*Balance!D$7:D$400)</f>
        <v>-0</v>
      </c>
      <c r="E14" s="37" t="n">
        <f aca="false">-SUMPRODUCT(((LEFT(Balance!$B$7:$B$400,3)="716"))*Balance!E$7:E$400)</f>
        <v>-0</v>
      </c>
      <c r="F14" s="37" t="n">
        <f aca="false">-SUMPRODUCT(((LEFT(Balance!$B$7:$B$400,3)="716"))*Balance!F$7:F$400)</f>
        <v>-0</v>
      </c>
      <c r="G14" s="37" t="n">
        <f aca="false">-SUMPRODUCT(((LEFT(Balance!$B$7:$B$400,3)="716"))*Balance!G$7:G$400)</f>
        <v>-0</v>
      </c>
      <c r="H14" s="37" t="n">
        <f aca="false">-SUMPRODUCT(((LEFT(Balance!$B$7:$B$400,3)="716"))*Balance!H$7:H$400)</f>
        <v>-0</v>
      </c>
      <c r="I14" s="37" t="n">
        <f aca="false">-SUMPRODUCT(((LEFT(Balance!$B$7:$B$400,3)="716"))*Balance!I$7:I$400)</f>
        <v>-0</v>
      </c>
      <c r="J14" s="37" t="n">
        <f aca="false">-SUMPRODUCT(((LEFT(Balance!$B$7:$B$400,3)="716"))*Balance!J$7:J$400)</f>
        <v>250000</v>
      </c>
      <c r="K14" s="37" t="n">
        <f aca="false">-SUMPRODUCT(((LEFT(Balance!$B$7:$B$400,3)="716"))*Balance!K$7:K$400)</f>
        <v>-0</v>
      </c>
      <c r="L14" s="37" t="n">
        <f aca="false">-SUMPRODUCT(((LEFT(Balance!$B$7:$B$400,3)="716"))*Balance!L$7:L$400)</f>
        <v>-0</v>
      </c>
      <c r="M14" s="37" t="n">
        <f aca="false">-SUMPRODUCT(((LEFT(Balance!$B$7:$B$400,3)="716"))*Balance!M$7:M$400)</f>
        <v>-0</v>
      </c>
      <c r="N14" s="37" t="n">
        <f aca="false">-SUMPRODUCT(((LEFT(Balance!$B$7:$B$400,3)="716"))*Balance!N$7:N$400)</f>
        <v>-0</v>
      </c>
      <c r="O14" s="37" t="n">
        <f aca="false">-SUMPRODUCT(((LEFT(Balance!$B$7:$B$400,3)="716"))*Balance!O$7:O$400)</f>
        <v>-0</v>
      </c>
      <c r="P14" s="37" t="n">
        <f aca="false">-SUMPRODUCT(((LEFT(Balance!$B$7:$B$400,3)="716"))*Balance!P$7:P$400)</f>
        <v>250000</v>
      </c>
      <c r="Q14" s="38" t="n">
        <f aca="false">SUM(E14:P14)</f>
        <v>500000</v>
      </c>
    </row>
    <row r="15" customFormat="false" ht="15" hidden="false" customHeight="false" outlineLevel="0" collapsed="false">
      <c r="B15" s="19" t="s">
        <v>223</v>
      </c>
      <c r="C15" s="35" t="s">
        <v>224</v>
      </c>
      <c r="D15" s="36" t="n">
        <f aca="false">-SUMPRODUCT(((LEFT(Balance!$B$7:$B$400,3)="718"))*Balance!D$7:D$400)</f>
        <v>41666.67</v>
      </c>
      <c r="E15" s="37" t="n">
        <f aca="false">-SUMPRODUCT(((LEFT(Balance!$B$7:$B$400,3)="718"))*Balance!E$7:E$400)</f>
        <v>41666.67</v>
      </c>
      <c r="F15" s="37" t="n">
        <f aca="false">-SUMPRODUCT(((LEFT(Balance!$B$7:$B$400,3)="718"))*Balance!F$7:F$400)</f>
        <v>41666.67</v>
      </c>
      <c r="G15" s="37" t="n">
        <f aca="false">-SUMPRODUCT(((LEFT(Balance!$B$7:$B$400,3)="718"))*Balance!G$7:G$400)</f>
        <v>41666.67</v>
      </c>
      <c r="H15" s="37" t="n">
        <f aca="false">-SUMPRODUCT(((LEFT(Balance!$B$7:$B$400,3)="718"))*Balance!H$7:H$400)</f>
        <v>41666.67</v>
      </c>
      <c r="I15" s="37" t="n">
        <f aca="false">-SUMPRODUCT(((LEFT(Balance!$B$7:$B$400,3)="718"))*Balance!I$7:I$400)</f>
        <v>41666.67</v>
      </c>
      <c r="J15" s="37" t="n">
        <f aca="false">-SUMPRODUCT(((LEFT(Balance!$B$7:$B$400,3)="718"))*Balance!J$7:J$400)</f>
        <v>41666.67</v>
      </c>
      <c r="K15" s="37" t="n">
        <f aca="false">-SUMPRODUCT(((LEFT(Balance!$B$7:$B$400,3)="718"))*Balance!K$7:K$400)</f>
        <v>41666.67</v>
      </c>
      <c r="L15" s="37" t="n">
        <f aca="false">-SUMPRODUCT(((LEFT(Balance!$B$7:$B$400,3)="718"))*Balance!L$7:L$400)</f>
        <v>41666.67</v>
      </c>
      <c r="M15" s="37" t="n">
        <f aca="false">-SUMPRODUCT(((LEFT(Balance!$B$7:$B$400,3)="718"))*Balance!M$7:M$400)</f>
        <v>41666.67</v>
      </c>
      <c r="N15" s="37" t="n">
        <f aca="false">-SUMPRODUCT(((LEFT(Balance!$B$7:$B$400,3)="718"))*Balance!N$7:N$400)</f>
        <v>41666.67</v>
      </c>
      <c r="O15" s="37" t="n">
        <f aca="false">-SUMPRODUCT(((LEFT(Balance!$B$7:$B$400,3)="718"))*Balance!O$7:O$400)</f>
        <v>41666.67</v>
      </c>
      <c r="P15" s="37" t="n">
        <f aca="false">-SUMPRODUCT(((LEFT(Balance!$B$7:$B$400,3)="718"))*Balance!P$7:P$400)</f>
        <v>41666.67</v>
      </c>
      <c r="Q15" s="38" t="n">
        <f aca="false">SUM(E15:P15)</f>
        <v>500000.04</v>
      </c>
    </row>
    <row r="16" customFormat="false" ht="15" hidden="false" customHeight="false" outlineLevel="0" collapsed="false">
      <c r="B16" s="19" t="s">
        <v>225</v>
      </c>
      <c r="C16" s="35" t="s">
        <v>226</v>
      </c>
      <c r="D16" s="36" t="n">
        <f aca="false">-SUMPRODUCT(((LEFT(Balance!$B$7:$B$400,3)="719"))*Balance!D$7:D$400)</f>
        <v>-0</v>
      </c>
      <c r="E16" s="37" t="n">
        <f aca="false">-SUMPRODUCT(((LEFT(Balance!$B$7:$B$400,3)="719"))*Balance!E$7:E$400)</f>
        <v>-0</v>
      </c>
      <c r="F16" s="37" t="n">
        <f aca="false">-SUMPRODUCT(((LEFT(Balance!$B$7:$B$400,3)="719"))*Balance!F$7:F$400)</f>
        <v>-0</v>
      </c>
      <c r="G16" s="37" t="n">
        <f aca="false">-SUMPRODUCT(((LEFT(Balance!$B$7:$B$400,3)="719"))*Balance!G$7:G$400)</f>
        <v>150000</v>
      </c>
      <c r="H16" s="37" t="n">
        <f aca="false">-SUMPRODUCT(((LEFT(Balance!$B$7:$B$400,3)="719"))*Balance!H$7:H$400)</f>
        <v>-0</v>
      </c>
      <c r="I16" s="37" t="n">
        <f aca="false">-SUMPRODUCT(((LEFT(Balance!$B$7:$B$400,3)="719"))*Balance!I$7:I$400)</f>
        <v>-0</v>
      </c>
      <c r="J16" s="37" t="n">
        <f aca="false">-SUMPRODUCT(((LEFT(Balance!$B$7:$B$400,3)="719"))*Balance!J$7:J$400)</f>
        <v>-0</v>
      </c>
      <c r="K16" s="37" t="n">
        <f aca="false">-SUMPRODUCT(((LEFT(Balance!$B$7:$B$400,3)="719"))*Balance!K$7:K$400)</f>
        <v>-0</v>
      </c>
      <c r="L16" s="37" t="n">
        <f aca="false">-SUMPRODUCT(((LEFT(Balance!$B$7:$B$400,3)="719"))*Balance!L$7:L$400)</f>
        <v>-0</v>
      </c>
      <c r="M16" s="37" t="n">
        <f aca="false">-SUMPRODUCT(((LEFT(Balance!$B$7:$B$400,3)="719"))*Balance!M$7:M$400)</f>
        <v>150000</v>
      </c>
      <c r="N16" s="37" t="n">
        <f aca="false">-SUMPRODUCT(((LEFT(Balance!$B$7:$B$400,3)="719"))*Balance!N$7:N$400)</f>
        <v>-0</v>
      </c>
      <c r="O16" s="37" t="n">
        <f aca="false">-SUMPRODUCT(((LEFT(Balance!$B$7:$B$400,3)="719"))*Balance!O$7:O$400)</f>
        <v>-0</v>
      </c>
      <c r="P16" s="37" t="n">
        <f aca="false">-SUMPRODUCT(((LEFT(Balance!$B$7:$B$400,3)="719"))*Balance!P$7:P$400)</f>
        <v>-0</v>
      </c>
      <c r="Q16" s="38" t="n">
        <f aca="false">SUM(E16:P16)</f>
        <v>300000</v>
      </c>
    </row>
    <row r="17" customFormat="false" ht="15" hidden="false" customHeight="false" outlineLevel="0" collapsed="false">
      <c r="B17" s="41" t="s">
        <v>227</v>
      </c>
      <c r="C17" s="42"/>
      <c r="D17" s="43" t="n">
        <f aca="false">D11+D12+D13+D14+D15+D16</f>
        <v>11641666.67</v>
      </c>
      <c r="E17" s="43" t="n">
        <f aca="false">E11+E12+E13+E14+E15+E16</f>
        <v>10941666.67</v>
      </c>
      <c r="F17" s="43" t="n">
        <f aca="false">F11+F12+F13+F14+F15+F16</f>
        <v>11441666.67</v>
      </c>
      <c r="G17" s="43" t="n">
        <f aca="false">G11+G12+G13+G14+G15+G16</f>
        <v>12791666.67</v>
      </c>
      <c r="H17" s="43" t="n">
        <f aca="false">H11+H12+H13+H14+H15+H16</f>
        <v>12041666.67</v>
      </c>
      <c r="I17" s="43" t="n">
        <f aca="false">I11+I12+I13+I14+I15+I16</f>
        <v>12841666.67</v>
      </c>
      <c r="J17" s="43" t="n">
        <f aca="false">J11+J12+J13+J14+J15+J16</f>
        <v>13191666.67</v>
      </c>
      <c r="K17" s="43" t="n">
        <f aca="false">K11+K12+K13+K14+K15+K16</f>
        <v>11941666.67</v>
      </c>
      <c r="L17" s="43" t="n">
        <f aca="false">L11+L12+L13+L14+L15+L16</f>
        <v>7641666.67</v>
      </c>
      <c r="M17" s="43" t="n">
        <f aca="false">M11+M12+M13+M14+M15+M16</f>
        <v>12191666.67</v>
      </c>
      <c r="N17" s="43" t="n">
        <f aca="false">N11+N12+N13+N14+N15+N16</f>
        <v>12941666.67</v>
      </c>
      <c r="O17" s="43" t="n">
        <f aca="false">O11+O12+O13+O14+O15+O16</f>
        <v>12541666.67</v>
      </c>
      <c r="P17" s="43" t="n">
        <f aca="false">P11+P12+P13+P14+P15+P16</f>
        <v>13991666.67</v>
      </c>
      <c r="Q17" s="43" t="n">
        <f aca="false">SUM(E17:P17)</f>
        <v>144500000.04</v>
      </c>
    </row>
    <row r="18" customFormat="false" ht="15" hidden="false" customHeight="false" outlineLevel="0" collapsed="false">
      <c r="B18" s="34" t="s">
        <v>228</v>
      </c>
    </row>
    <row r="19" customFormat="false" ht="15" hidden="false" customHeight="false" outlineLevel="0" collapsed="false">
      <c r="B19" s="19" t="s">
        <v>229</v>
      </c>
      <c r="C19" s="35" t="s">
        <v>230</v>
      </c>
      <c r="D19" s="36" t="n">
        <f aca="false">SUMPRODUCT(((LEFT(Balance!$B$7:$B$400,3)="611"))*Balance!D$7:D$400)</f>
        <v>33756.48</v>
      </c>
      <c r="E19" s="37" t="n">
        <f aca="false">SUMPRODUCT(((LEFT(Balance!$B$7:$B$400,3)="611"))*Balance!E$7:E$400)</f>
        <v>32185.14</v>
      </c>
      <c r="F19" s="37" t="n">
        <f aca="false">SUMPRODUCT(((LEFT(Balance!$B$7:$B$400,3)="611"))*Balance!F$7:F$400)</f>
        <v>33236.86</v>
      </c>
      <c r="G19" s="37" t="n">
        <f aca="false">SUMPRODUCT(((LEFT(Balance!$B$7:$B$400,3)="611"))*Balance!G$7:G$400)</f>
        <v>37072.63</v>
      </c>
      <c r="H19" s="37" t="n">
        <f aca="false">SUMPRODUCT(((LEFT(Balance!$B$7:$B$400,3)="611"))*Balance!H$7:H$400)</f>
        <v>35194.96</v>
      </c>
      <c r="I19" s="37" t="n">
        <f aca="false">SUMPRODUCT(((LEFT(Balance!$B$7:$B$400,3)="611"))*Balance!I$7:I$400)</f>
        <v>37313.05</v>
      </c>
      <c r="J19" s="37" t="n">
        <f aca="false">SUMPRODUCT(((LEFT(Balance!$B$7:$B$400,3)="611"))*Balance!J$7:J$400)</f>
        <v>37801.13</v>
      </c>
      <c r="K19" s="37" t="n">
        <f aca="false">SUMPRODUCT(((LEFT(Balance!$B$7:$B$400,3)="611"))*Balance!K$7:K$400)</f>
        <v>34094.72</v>
      </c>
      <c r="L19" s="37" t="n">
        <f aca="false">SUMPRODUCT(((LEFT(Balance!$B$7:$B$400,3)="611"))*Balance!L$7:L$400)</f>
        <v>21714.83</v>
      </c>
      <c r="M19" s="37" t="n">
        <f aca="false">SUMPRODUCT(((LEFT(Balance!$B$7:$B$400,3)="611"))*Balance!M$7:M$400)</f>
        <v>35368.06</v>
      </c>
      <c r="N19" s="37" t="n">
        <f aca="false">SUMPRODUCT(((LEFT(Balance!$B$7:$B$400,3)="611"))*Balance!N$7:N$400)</f>
        <v>37930.71</v>
      </c>
      <c r="O19" s="37" t="n">
        <f aca="false">SUMPRODUCT(((LEFT(Balance!$B$7:$B$400,3)="611"))*Balance!O$7:O$400)</f>
        <v>36328.78</v>
      </c>
      <c r="P19" s="37" t="n">
        <f aca="false">SUMPRODUCT(((LEFT(Balance!$B$7:$B$400,3)="611"))*Balance!P$7:P$400)</f>
        <v>41759.13</v>
      </c>
      <c r="Q19" s="38" t="n">
        <f aca="false">SUM(E19:P19)</f>
        <v>420000</v>
      </c>
    </row>
    <row r="20" customFormat="false" ht="15" hidden="false" customHeight="false" outlineLevel="0" collapsed="false">
      <c r="B20" s="19" t="s">
        <v>231</v>
      </c>
      <c r="C20" s="35" t="s">
        <v>232</v>
      </c>
      <c r="D20" s="36" t="n">
        <f aca="false">SUMPRODUCT(((LEFT(Balance!$B$7:$B$400,3)="612"))*Balance!D$7:D$400)</f>
        <v>5025676.6</v>
      </c>
      <c r="E20" s="37" t="n">
        <f aca="false">SUMPRODUCT(((LEFT(Balance!$B$7:$B$400,3)="612"))*Balance!E$7:E$400)</f>
        <v>4551601.7</v>
      </c>
      <c r="F20" s="37" t="n">
        <f aca="false">SUMPRODUCT(((LEFT(Balance!$B$7:$B$400,3)="612"))*Balance!F$7:F$400)</f>
        <v>4610348.87</v>
      </c>
      <c r="G20" s="37" t="n">
        <f aca="false">SUMPRODUCT(((LEFT(Balance!$B$7:$B$400,3)="612"))*Balance!G$7:G$400)</f>
        <v>5093311.96</v>
      </c>
      <c r="H20" s="37" t="n">
        <f aca="false">SUMPRODUCT(((LEFT(Balance!$B$7:$B$400,3)="612"))*Balance!H$7:H$400)</f>
        <v>5438438.98</v>
      </c>
      <c r="I20" s="37" t="n">
        <f aca="false">SUMPRODUCT(((LEFT(Balance!$B$7:$B$400,3)="612"))*Balance!I$7:I$400)</f>
        <v>5452504.46</v>
      </c>
      <c r="J20" s="37" t="n">
        <f aca="false">SUMPRODUCT(((LEFT(Balance!$B$7:$B$400,3)="612"))*Balance!J$7:J$400)</f>
        <v>5473004.56</v>
      </c>
      <c r="K20" s="37" t="n">
        <f aca="false">SUMPRODUCT(((LEFT(Balance!$B$7:$B$400,3)="612"))*Balance!K$7:K$400)</f>
        <v>4884054.74</v>
      </c>
      <c r="L20" s="37" t="n">
        <f aca="false">SUMPRODUCT(((LEFT(Balance!$B$7:$B$400,3)="612"))*Balance!L$7:L$400)</f>
        <v>2863299.06</v>
      </c>
      <c r="M20" s="37" t="n">
        <f aca="false">SUMPRODUCT(((LEFT(Balance!$B$7:$B$400,3)="612"))*Balance!M$7:M$400)</f>
        <v>5943694.66</v>
      </c>
      <c r="N20" s="37" t="n">
        <f aca="false">SUMPRODUCT(((LEFT(Balance!$B$7:$B$400,3)="612"))*Balance!N$7:N$400)</f>
        <v>5861655.37</v>
      </c>
      <c r="O20" s="37" t="n">
        <f aca="false">SUMPRODUCT(((LEFT(Balance!$B$7:$B$400,3)="612"))*Balance!O$7:O$400)</f>
        <v>5553696.47</v>
      </c>
      <c r="P20" s="37" t="n">
        <f aca="false">SUMPRODUCT(((LEFT(Balance!$B$7:$B$400,3)="612"))*Balance!P$7:P$400)</f>
        <v>6274389.15</v>
      </c>
      <c r="Q20" s="38" t="n">
        <f aca="false">SUM(E20:P20)</f>
        <v>61999999.98</v>
      </c>
    </row>
    <row r="21" customFormat="false" ht="15" hidden="false" customHeight="false" outlineLevel="0" collapsed="false">
      <c r="B21" s="19" t="s">
        <v>233</v>
      </c>
      <c r="C21" s="35" t="s">
        <v>234</v>
      </c>
      <c r="D21" s="36" t="n">
        <f aca="false">SUMPRODUCT(((LEFT(Balance!$B$7:$B$400,3)="613")+(LEFT(Balance!$B$7:$B$400,3)="614"))*Balance!D$7:D$400)</f>
        <v>1158379.07</v>
      </c>
      <c r="E21" s="37" t="n">
        <f aca="false">SUMPRODUCT(((LEFT(Balance!$B$7:$B$400,3)="613")+(LEFT(Balance!$B$7:$B$400,3)="614"))*Balance!E$7:E$400)</f>
        <v>1146545.96</v>
      </c>
      <c r="F21" s="37" t="n">
        <f aca="false">SUMPRODUCT(((LEFT(Balance!$B$7:$B$400,3)="613")+(LEFT(Balance!$B$7:$B$400,3)="614"))*Balance!F$7:F$400)</f>
        <v>1122853.74</v>
      </c>
      <c r="G21" s="37" t="n">
        <f aca="false">SUMPRODUCT(((LEFT(Balance!$B$7:$B$400,3)="613")+(LEFT(Balance!$B$7:$B$400,3)="614"))*Balance!G$7:G$400)</f>
        <v>1209678.12</v>
      </c>
      <c r="H21" s="37" t="n">
        <f aca="false">SUMPRODUCT(((LEFT(Balance!$B$7:$B$400,3)="613")+(LEFT(Balance!$B$7:$B$400,3)="614"))*Balance!H$7:H$400)</f>
        <v>1164908.85</v>
      </c>
      <c r="I21" s="37" t="n">
        <f aca="false">SUMPRODUCT(((LEFT(Balance!$B$7:$B$400,3)="613")+(LEFT(Balance!$B$7:$B$400,3)="614"))*Balance!I$7:I$400)</f>
        <v>1197993.68</v>
      </c>
      <c r="J21" s="37" t="n">
        <f aca="false">SUMPRODUCT(((LEFT(Balance!$B$7:$B$400,3)="613")+(LEFT(Balance!$B$7:$B$400,3)="614"))*Balance!J$7:J$400)</f>
        <v>1185017.38</v>
      </c>
      <c r="K21" s="37" t="n">
        <f aca="false">SUMPRODUCT(((LEFT(Balance!$B$7:$B$400,3)="613")+(LEFT(Balance!$B$7:$B$400,3)="614"))*Balance!K$7:K$400)</f>
        <v>1169684.75</v>
      </c>
      <c r="L21" s="37" t="n">
        <f aca="false">SUMPRODUCT(((LEFT(Balance!$B$7:$B$400,3)="613")+(LEFT(Balance!$B$7:$B$400,3)="614"))*Balance!L$7:L$400)</f>
        <v>1007496.44</v>
      </c>
      <c r="M21" s="37" t="n">
        <f aca="false">SUMPRODUCT(((LEFT(Balance!$B$7:$B$400,3)="613")+(LEFT(Balance!$B$7:$B$400,3)="614"))*Balance!M$7:M$400)</f>
        <v>1176719.23</v>
      </c>
      <c r="N21" s="37" t="n">
        <f aca="false">SUMPRODUCT(((LEFT(Balance!$B$7:$B$400,3)="613")+(LEFT(Balance!$B$7:$B$400,3)="614"))*Balance!N$7:N$400)</f>
        <v>1216459.34</v>
      </c>
      <c r="O21" s="37" t="n">
        <f aca="false">SUMPRODUCT(((LEFT(Balance!$B$7:$B$400,3)="613")+(LEFT(Balance!$B$7:$B$400,3)="614"))*Balance!O$7:O$400)</f>
        <v>1171142.69</v>
      </c>
      <c r="P21" s="37" t="n">
        <f aca="false">SUMPRODUCT(((LEFT(Balance!$B$7:$B$400,3)="613")+(LEFT(Balance!$B$7:$B$400,3)="614"))*Balance!P$7:P$400)</f>
        <v>1231499.75</v>
      </c>
      <c r="Q21" s="38" t="n">
        <f aca="false">SUM(E21:P21)</f>
        <v>13999999.93</v>
      </c>
    </row>
    <row r="22" customFormat="false" ht="15" hidden="false" customHeight="false" outlineLevel="0" collapsed="false">
      <c r="B22" s="19" t="s">
        <v>235</v>
      </c>
      <c r="C22" s="35" t="s">
        <v>236</v>
      </c>
      <c r="D22" s="36" t="n">
        <f aca="false">SUMPRODUCT(((LEFT(Balance!$B$7:$B$400,3)="616"))*Balance!D$7:D$400)</f>
        <v>127825.77</v>
      </c>
      <c r="E22" s="37" t="n">
        <f aca="false">SUMPRODUCT(((LEFT(Balance!$B$7:$B$400,3)="616"))*Balance!E$7:E$400)</f>
        <v>124008.07</v>
      </c>
      <c r="F22" s="37" t="n">
        <f aca="false">SUMPRODUCT(((LEFT(Balance!$B$7:$B$400,3)="616"))*Balance!F$7:F$400)</f>
        <v>122433.54</v>
      </c>
      <c r="G22" s="37" t="n">
        <f aca="false">SUMPRODUCT(((LEFT(Balance!$B$7:$B$400,3)="616"))*Balance!G$7:G$400)</f>
        <v>121085.58</v>
      </c>
      <c r="H22" s="37" t="n">
        <f aca="false">SUMPRODUCT(((LEFT(Balance!$B$7:$B$400,3)="616"))*Balance!H$7:H$400)</f>
        <v>126320.6</v>
      </c>
      <c r="I22" s="37" t="n">
        <f aca="false">SUMPRODUCT(((LEFT(Balance!$B$7:$B$400,3)="616"))*Balance!I$7:I$400)</f>
        <v>130520.87</v>
      </c>
      <c r="J22" s="37" t="n">
        <f aca="false">SUMPRODUCT(((LEFT(Balance!$B$7:$B$400,3)="616"))*Balance!J$7:J$400)</f>
        <v>121765.77</v>
      </c>
      <c r="K22" s="37" t="n">
        <f aca="false">SUMPRODUCT(((LEFT(Balance!$B$7:$B$400,3)="616"))*Balance!K$7:K$400)</f>
        <v>126809.99</v>
      </c>
      <c r="L22" s="37" t="n">
        <f aca="false">SUMPRODUCT(((LEFT(Balance!$B$7:$B$400,3)="616"))*Balance!L$7:L$400)</f>
        <v>127155.06</v>
      </c>
      <c r="M22" s="37" t="n">
        <f aca="false">SUMPRODUCT(((LEFT(Balance!$B$7:$B$400,3)="616"))*Balance!M$7:M$400)</f>
        <v>124501.09</v>
      </c>
      <c r="N22" s="37" t="n">
        <f aca="false">SUMPRODUCT(((LEFT(Balance!$B$7:$B$400,3)="616"))*Balance!N$7:N$400)</f>
        <v>122400.79</v>
      </c>
      <c r="O22" s="37" t="n">
        <f aca="false">SUMPRODUCT(((LEFT(Balance!$B$7:$B$400,3)="616"))*Balance!O$7:O$400)</f>
        <v>128341.72</v>
      </c>
      <c r="P22" s="37" t="n">
        <f aca="false">SUMPRODUCT(((LEFT(Balance!$B$7:$B$400,3)="616"))*Balance!P$7:P$400)</f>
        <v>124656.9</v>
      </c>
      <c r="Q22" s="38" t="n">
        <f aca="false">SUM(E22:P22)</f>
        <v>1499999.98</v>
      </c>
    </row>
    <row r="23" customFormat="false" ht="15" hidden="false" customHeight="false" outlineLevel="0" collapsed="false">
      <c r="B23" s="19" t="s">
        <v>237</v>
      </c>
      <c r="C23" s="35" t="s">
        <v>238</v>
      </c>
      <c r="D23" s="36" t="n">
        <f aca="false">SUMPRODUCT(((LEFT(Balance!$B$7:$B$400,3)="617"))*Balance!D$7:D$400)</f>
        <v>3979693.92</v>
      </c>
      <c r="E23" s="37" t="n">
        <f aca="false">SUMPRODUCT(((LEFT(Balance!$B$7:$B$400,3)="617"))*Balance!E$7:E$400)</f>
        <v>3242539.58</v>
      </c>
      <c r="F23" s="37" t="n">
        <f aca="false">SUMPRODUCT(((LEFT(Balance!$B$7:$B$400,3)="617"))*Balance!F$7:F$400)</f>
        <v>3247018.72</v>
      </c>
      <c r="G23" s="37" t="n">
        <f aca="false">SUMPRODUCT(((LEFT(Balance!$B$7:$B$400,3)="617"))*Balance!G$7:G$400)</f>
        <v>3298229.97</v>
      </c>
      <c r="H23" s="37" t="n">
        <f aca="false">SUMPRODUCT(((LEFT(Balance!$B$7:$B$400,3)="617"))*Balance!H$7:H$400)</f>
        <v>3270907.53</v>
      </c>
      <c r="I23" s="37" t="n">
        <f aca="false">SUMPRODUCT(((LEFT(Balance!$B$7:$B$400,3)="617"))*Balance!I$7:I$400)</f>
        <v>3300900.67</v>
      </c>
      <c r="J23" s="37" t="n">
        <f aca="false">SUMPRODUCT(((LEFT(Balance!$B$7:$B$400,3)="617"))*Balance!J$7:J$400)</f>
        <v>3270750.3</v>
      </c>
      <c r="K23" s="37" t="n">
        <f aca="false">SUMPRODUCT(((LEFT(Balance!$B$7:$B$400,3)="617"))*Balance!K$7:K$400)</f>
        <v>3275585.07</v>
      </c>
      <c r="L23" s="37" t="n">
        <f aca="false">SUMPRODUCT(((LEFT(Balance!$B$7:$B$400,3)="617"))*Balance!L$7:L$400)</f>
        <v>3053295.78</v>
      </c>
      <c r="M23" s="37" t="n">
        <f aca="false">SUMPRODUCT(((LEFT(Balance!$B$7:$B$400,3)="617"))*Balance!M$7:M$400)</f>
        <v>3311267.27</v>
      </c>
      <c r="N23" s="37" t="n">
        <f aca="false">SUMPRODUCT(((LEFT(Balance!$B$7:$B$400,3)="617"))*Balance!N$7:N$400)</f>
        <v>3302635.23</v>
      </c>
      <c r="O23" s="37" t="n">
        <f aca="false">SUMPRODUCT(((LEFT(Balance!$B$7:$B$400,3)="617"))*Balance!O$7:O$400)</f>
        <v>3271792.66</v>
      </c>
      <c r="P23" s="37" t="n">
        <f aca="false">SUMPRODUCT(((LEFT(Balance!$B$7:$B$400,3)="617"))*Balance!P$7:P$400)</f>
        <v>4155077.22</v>
      </c>
      <c r="Q23" s="38" t="n">
        <f aca="false">SUM(E23:P23)</f>
        <v>40000000</v>
      </c>
    </row>
    <row r="24" customFormat="false" ht="15" hidden="false" customHeight="false" outlineLevel="0" collapsed="false">
      <c r="B24" s="19" t="s">
        <v>239</v>
      </c>
      <c r="C24" s="35" t="s">
        <v>240</v>
      </c>
      <c r="D24" s="36" t="n">
        <f aca="false">SUMPRODUCT(((LEFT(Balance!$B$7:$B$400,3)="618"))*Balance!D$7:D$400)</f>
        <v>0</v>
      </c>
      <c r="E24" s="37" t="n">
        <f aca="false">SUMPRODUCT(((LEFT(Balance!$B$7:$B$400,3)="618"))*Balance!E$7:E$400)</f>
        <v>0</v>
      </c>
      <c r="F24" s="37" t="n">
        <f aca="false">SUMPRODUCT(((LEFT(Balance!$B$7:$B$400,3)="618"))*Balance!F$7:F$400)</f>
        <v>0</v>
      </c>
      <c r="G24" s="37" t="n">
        <f aca="false">SUMPRODUCT(((LEFT(Balance!$B$7:$B$400,3)="618"))*Balance!G$7:G$400)</f>
        <v>0</v>
      </c>
      <c r="H24" s="37" t="n">
        <f aca="false">SUMPRODUCT(((LEFT(Balance!$B$7:$B$400,3)="618"))*Balance!H$7:H$400)</f>
        <v>0</v>
      </c>
      <c r="I24" s="37" t="n">
        <f aca="false">SUMPRODUCT(((LEFT(Balance!$B$7:$B$400,3)="618"))*Balance!I$7:I$400)</f>
        <v>0</v>
      </c>
      <c r="J24" s="37" t="n">
        <f aca="false">SUMPRODUCT(((LEFT(Balance!$B$7:$B$400,3)="618"))*Balance!J$7:J$400)</f>
        <v>0</v>
      </c>
      <c r="K24" s="37" t="n">
        <f aca="false">SUMPRODUCT(((LEFT(Balance!$B$7:$B$400,3)="618"))*Balance!K$7:K$400)</f>
        <v>0</v>
      </c>
      <c r="L24" s="37" t="n">
        <f aca="false">SUMPRODUCT(((LEFT(Balance!$B$7:$B$400,3)="618"))*Balance!L$7:L$400)</f>
        <v>0</v>
      </c>
      <c r="M24" s="37" t="n">
        <f aca="false">SUMPRODUCT(((LEFT(Balance!$B$7:$B$400,3)="618"))*Balance!M$7:M$400)</f>
        <v>0</v>
      </c>
      <c r="N24" s="37" t="n">
        <f aca="false">SUMPRODUCT(((LEFT(Balance!$B$7:$B$400,3)="618"))*Balance!N$7:N$400)</f>
        <v>0</v>
      </c>
      <c r="O24" s="37" t="n">
        <f aca="false">SUMPRODUCT(((LEFT(Balance!$B$7:$B$400,3)="618"))*Balance!O$7:O$400)</f>
        <v>100000</v>
      </c>
      <c r="P24" s="37" t="n">
        <f aca="false">SUMPRODUCT(((LEFT(Balance!$B$7:$B$400,3)="618"))*Balance!P$7:P$400)</f>
        <v>0</v>
      </c>
      <c r="Q24" s="38" t="n">
        <f aca="false">SUM(E24:P24)</f>
        <v>100000</v>
      </c>
    </row>
    <row r="25" customFormat="false" ht="15" hidden="false" customHeight="false" outlineLevel="0" collapsed="false">
      <c r="B25" s="19" t="s">
        <v>241</v>
      </c>
      <c r="C25" s="35" t="s">
        <v>242</v>
      </c>
      <c r="D25" s="36" t="n">
        <f aca="false">SUMPRODUCT(((LEFT(Balance!$B$7:$B$400,3)="619"))*Balance!D$7:D$400)</f>
        <v>813333.33</v>
      </c>
      <c r="E25" s="37" t="n">
        <f aca="false">SUMPRODUCT(((LEFT(Balance!$B$7:$B$400,3)="619"))*Balance!E$7:E$400)</f>
        <v>733333.33</v>
      </c>
      <c r="F25" s="37" t="n">
        <f aca="false">SUMPRODUCT(((LEFT(Balance!$B$7:$B$400,3)="619"))*Balance!F$7:F$400)</f>
        <v>733333.33</v>
      </c>
      <c r="G25" s="37" t="n">
        <f aca="false">SUMPRODUCT(((LEFT(Balance!$B$7:$B$400,3)="619"))*Balance!G$7:G$400)</f>
        <v>733333.33</v>
      </c>
      <c r="H25" s="37" t="n">
        <f aca="false">SUMPRODUCT(((LEFT(Balance!$B$7:$B$400,3)="619"))*Balance!H$7:H$400)</f>
        <v>733333.33</v>
      </c>
      <c r="I25" s="37" t="n">
        <f aca="false">SUMPRODUCT(((LEFT(Balance!$B$7:$B$400,3)="619"))*Balance!I$7:I$400)</f>
        <v>733333.33</v>
      </c>
      <c r="J25" s="37" t="n">
        <f aca="false">SUMPRODUCT(((LEFT(Balance!$B$7:$B$400,3)="619"))*Balance!J$7:J$400)</f>
        <v>833333.33</v>
      </c>
      <c r="K25" s="37" t="n">
        <f aca="false">SUMPRODUCT(((LEFT(Balance!$B$7:$B$400,3)="619"))*Balance!K$7:K$400)</f>
        <v>733333.33</v>
      </c>
      <c r="L25" s="37" t="n">
        <f aca="false">SUMPRODUCT(((LEFT(Balance!$B$7:$B$400,3)="619"))*Balance!L$7:L$400)</f>
        <v>733333.33</v>
      </c>
      <c r="M25" s="37" t="n">
        <f aca="false">SUMPRODUCT(((LEFT(Balance!$B$7:$B$400,3)="619"))*Balance!M$7:M$400)</f>
        <v>733333.33</v>
      </c>
      <c r="N25" s="37" t="n">
        <f aca="false">SUMPRODUCT(((LEFT(Balance!$B$7:$B$400,3)="619"))*Balance!N$7:N$400)</f>
        <v>733333.33</v>
      </c>
      <c r="O25" s="37" t="n">
        <f aca="false">SUMPRODUCT(((LEFT(Balance!$B$7:$B$400,3)="619"))*Balance!O$7:O$400)</f>
        <v>733333.33</v>
      </c>
      <c r="P25" s="37" t="n">
        <f aca="false">SUMPRODUCT(((LEFT(Balance!$B$7:$B$400,3)="619"))*Balance!P$7:P$400)</f>
        <v>833333.33</v>
      </c>
      <c r="Q25" s="38" t="n">
        <f aca="false">SUM(E25:P25)</f>
        <v>8999999.96</v>
      </c>
    </row>
    <row r="26" customFormat="false" ht="15" hidden="false" customHeight="false" outlineLevel="0" collapsed="false">
      <c r="B26" s="41" t="s">
        <v>243</v>
      </c>
      <c r="C26" s="42"/>
      <c r="D26" s="43" t="n">
        <f aca="false">D19+D20+D21+D22+D23+D24+D25</f>
        <v>11138665.17</v>
      </c>
      <c r="E26" s="43" t="n">
        <f aca="false">E19+E20+E21+E22+E23+E24+E25</f>
        <v>9830213.78</v>
      </c>
      <c r="F26" s="43" t="n">
        <f aca="false">F19+F20+F21+F22+F23+F24+F25</f>
        <v>9869225.06</v>
      </c>
      <c r="G26" s="43" t="n">
        <f aca="false">G19+G20+G21+G22+G23+G24+G25</f>
        <v>10492711.59</v>
      </c>
      <c r="H26" s="43" t="n">
        <f aca="false">H19+H20+H21+H22+H23+H24+H25</f>
        <v>10769104.25</v>
      </c>
      <c r="I26" s="43" t="n">
        <f aca="false">I19+I20+I21+I22+I23+I24+I25</f>
        <v>10852566.06</v>
      </c>
      <c r="J26" s="43" t="n">
        <f aca="false">J19+J20+J21+J22+J23+J24+J25</f>
        <v>10921672.47</v>
      </c>
      <c r="K26" s="43" t="n">
        <f aca="false">K19+K20+K21+K22+K23+K24+K25</f>
        <v>10223562.6</v>
      </c>
      <c r="L26" s="43" t="n">
        <f aca="false">L19+L20+L21+L22+L23+L24+L25</f>
        <v>7806294.5</v>
      </c>
      <c r="M26" s="43" t="n">
        <f aca="false">M19+M20+M21+M22+M23+M24+M25</f>
        <v>11324883.64</v>
      </c>
      <c r="N26" s="43" t="n">
        <f aca="false">N19+N20+N21+N22+N23+N24+N25</f>
        <v>11274414.77</v>
      </c>
      <c r="O26" s="43" t="n">
        <f aca="false">O19+O20+O21+O22+O23+O24+O25</f>
        <v>10994635.65</v>
      </c>
      <c r="P26" s="43" t="n">
        <f aca="false">P19+P20+P21+P22+P23+P24+P25</f>
        <v>12660715.48</v>
      </c>
      <c r="Q26" s="43" t="n">
        <f aca="false">SUM(E26:P26)</f>
        <v>127019999.85</v>
      </c>
    </row>
    <row r="27" customFormat="false" ht="19.5" hidden="false" customHeight="true" outlineLevel="0" collapsed="false">
      <c r="B27" s="44" t="s">
        <v>244</v>
      </c>
      <c r="C27" s="45"/>
      <c r="D27" s="46" t="n">
        <f aca="false">D17-D26</f>
        <v>503001.5</v>
      </c>
      <c r="E27" s="46" t="n">
        <f aca="false">E17-E26</f>
        <v>1111452.89</v>
      </c>
      <c r="F27" s="46" t="n">
        <f aca="false">F17-F26</f>
        <v>1572441.61</v>
      </c>
      <c r="G27" s="46" t="n">
        <f aca="false">G17-G26</f>
        <v>2298955.08</v>
      </c>
      <c r="H27" s="46" t="n">
        <f aca="false">H17-H26</f>
        <v>1272562.42</v>
      </c>
      <c r="I27" s="46" t="n">
        <f aca="false">I17-I26</f>
        <v>1989100.61</v>
      </c>
      <c r="J27" s="46" t="n">
        <f aca="false">J17-J26</f>
        <v>2269994.2</v>
      </c>
      <c r="K27" s="46" t="n">
        <f aca="false">K17-K26</f>
        <v>1718104.07</v>
      </c>
      <c r="L27" s="46" t="n">
        <f aca="false">L17-L26</f>
        <v>-164627.83</v>
      </c>
      <c r="M27" s="46" t="n">
        <f aca="false">M17-M26</f>
        <v>866783.030000001</v>
      </c>
      <c r="N27" s="46" t="n">
        <f aca="false">N17-N26</f>
        <v>1667251.9</v>
      </c>
      <c r="O27" s="46" t="n">
        <f aca="false">O17-O26</f>
        <v>1547031.02</v>
      </c>
      <c r="P27" s="46" t="n">
        <f aca="false">P17-P26</f>
        <v>1330951.19</v>
      </c>
      <c r="Q27" s="46" t="n">
        <f aca="false">SUM(E27:P27)</f>
        <v>17480000.19</v>
      </c>
    </row>
    <row r="28" customFormat="false" ht="21.75" hidden="false" customHeight="true" outlineLevel="0" collapsed="false">
      <c r="B28" s="33" t="s">
        <v>245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</row>
    <row r="29" customFormat="false" ht="15" hidden="false" customHeight="false" outlineLevel="0" collapsed="false">
      <c r="B29" s="34" t="s">
        <v>246</v>
      </c>
    </row>
    <row r="30" customFormat="false" ht="15" hidden="false" customHeight="false" outlineLevel="0" collapsed="false">
      <c r="B30" s="19" t="s">
        <v>247</v>
      </c>
      <c r="C30" s="35" t="s">
        <v>248</v>
      </c>
      <c r="D30" s="36" t="n">
        <f aca="false">-SUMPRODUCT(((LEFT(Balance!$B$7:$B$400,3)="732"))*Balance!D$7:D$400)</f>
        <v>-0</v>
      </c>
      <c r="E30" s="37" t="n">
        <f aca="false">-SUMPRODUCT(((LEFT(Balance!$B$7:$B$400,3)="732"))*Balance!E$7:E$400)</f>
        <v>-0</v>
      </c>
      <c r="F30" s="37" t="n">
        <f aca="false">-SUMPRODUCT(((LEFT(Balance!$B$7:$B$400,3)="732"))*Balance!F$7:F$400)</f>
        <v>-0</v>
      </c>
      <c r="G30" s="37" t="n">
        <f aca="false">-SUMPRODUCT(((LEFT(Balance!$B$7:$B$400,3)="732"))*Balance!G$7:G$400)</f>
        <v>-0</v>
      </c>
      <c r="H30" s="37" t="n">
        <f aca="false">-SUMPRODUCT(((LEFT(Balance!$B$7:$B$400,3)="732"))*Balance!H$7:H$400)</f>
        <v>-0</v>
      </c>
      <c r="I30" s="37" t="n">
        <f aca="false">-SUMPRODUCT(((LEFT(Balance!$B$7:$B$400,3)="732"))*Balance!I$7:I$400)</f>
        <v>-0</v>
      </c>
      <c r="J30" s="37" t="n">
        <f aca="false">-SUMPRODUCT(((LEFT(Balance!$B$7:$B$400,3)="732"))*Balance!J$7:J$400)</f>
        <v>-0</v>
      </c>
      <c r="K30" s="37" t="n">
        <f aca="false">-SUMPRODUCT(((LEFT(Balance!$B$7:$B$400,3)="732"))*Balance!K$7:K$400)</f>
        <v>-0</v>
      </c>
      <c r="L30" s="37" t="n">
        <f aca="false">-SUMPRODUCT(((LEFT(Balance!$B$7:$B$400,3)="732"))*Balance!L$7:L$400)</f>
        <v>-0</v>
      </c>
      <c r="M30" s="37" t="n">
        <f aca="false">-SUMPRODUCT(((LEFT(Balance!$B$7:$B$400,3)="732"))*Balance!M$7:M$400)</f>
        <v>-0</v>
      </c>
      <c r="N30" s="37" t="n">
        <f aca="false">-SUMPRODUCT(((LEFT(Balance!$B$7:$B$400,3)="732"))*Balance!N$7:N$400)</f>
        <v>-0</v>
      </c>
      <c r="O30" s="37" t="n">
        <f aca="false">-SUMPRODUCT(((LEFT(Balance!$B$7:$B$400,3)="732"))*Balance!O$7:O$400)</f>
        <v>-0</v>
      </c>
      <c r="P30" s="37" t="n">
        <f aca="false">-SUMPRODUCT(((LEFT(Balance!$B$7:$B$400,3)="732"))*Balance!P$7:P$400)</f>
        <v>-0</v>
      </c>
      <c r="Q30" s="38" t="n">
        <f aca="false">SUM(E30:P30)</f>
        <v>0</v>
      </c>
    </row>
    <row r="31" customFormat="false" ht="15" hidden="false" customHeight="false" outlineLevel="0" collapsed="false">
      <c r="B31" s="19" t="s">
        <v>198</v>
      </c>
      <c r="C31" s="35" t="s">
        <v>249</v>
      </c>
      <c r="D31" s="36" t="n">
        <f aca="false">-SUMPRODUCT(((LEFT(Balance!$B$7:$B$400,3)="733"))*Balance!D$7:D$400)</f>
        <v>120000</v>
      </c>
      <c r="E31" s="37" t="n">
        <f aca="false">-SUMPRODUCT(((LEFT(Balance!$B$7:$B$400,3)="733"))*Balance!E$7:E$400)</f>
        <v>120000</v>
      </c>
      <c r="F31" s="37" t="n">
        <f aca="false">-SUMPRODUCT(((LEFT(Balance!$B$7:$B$400,3)="733"))*Balance!F$7:F$400)</f>
        <v>100000</v>
      </c>
      <c r="G31" s="37" t="n">
        <f aca="false">-SUMPRODUCT(((LEFT(Balance!$B$7:$B$400,3)="733"))*Balance!G$7:G$400)</f>
        <v>40000</v>
      </c>
      <c r="H31" s="37" t="n">
        <f aca="false">-SUMPRODUCT(((LEFT(Balance!$B$7:$B$400,3)="733"))*Balance!H$7:H$400)</f>
        <v>150000</v>
      </c>
      <c r="I31" s="37" t="n">
        <f aca="false">-SUMPRODUCT(((LEFT(Balance!$B$7:$B$400,3)="733"))*Balance!I$7:I$400)</f>
        <v>130000</v>
      </c>
      <c r="J31" s="37" t="n">
        <f aca="false">-SUMPRODUCT(((LEFT(Balance!$B$7:$B$400,3)="733"))*Balance!J$7:J$400)</f>
        <v>140000</v>
      </c>
      <c r="K31" s="37" t="n">
        <f aca="false">-SUMPRODUCT(((LEFT(Balance!$B$7:$B$400,3)="733"))*Balance!K$7:K$400)</f>
        <v>110000</v>
      </c>
      <c r="L31" s="37" t="n">
        <f aca="false">-SUMPRODUCT(((LEFT(Balance!$B$7:$B$400,3)="733"))*Balance!L$7:L$400)</f>
        <v>60000</v>
      </c>
      <c r="M31" s="37" t="n">
        <f aca="false">-SUMPRODUCT(((LEFT(Balance!$B$7:$B$400,3)="733"))*Balance!M$7:M$400)</f>
        <v>150000</v>
      </c>
      <c r="N31" s="37" t="n">
        <f aca="false">-SUMPRODUCT(((LEFT(Balance!$B$7:$B$400,3)="733"))*Balance!N$7:N$400)</f>
        <v>120000</v>
      </c>
      <c r="O31" s="37" t="n">
        <f aca="false">-SUMPRODUCT(((LEFT(Balance!$B$7:$B$400,3)="733"))*Balance!O$7:O$400)</f>
        <v>140000</v>
      </c>
      <c r="P31" s="37" t="n">
        <f aca="false">-SUMPRODUCT(((LEFT(Balance!$B$7:$B$400,3)="733"))*Balance!P$7:P$400)</f>
        <v>140000</v>
      </c>
      <c r="Q31" s="38" t="n">
        <f aca="false">SUM(E31:P31)</f>
        <v>1400000</v>
      </c>
    </row>
    <row r="32" customFormat="false" ht="15" hidden="false" customHeight="false" outlineLevel="0" collapsed="false">
      <c r="B32" s="19" t="s">
        <v>250</v>
      </c>
      <c r="C32" s="35" t="s">
        <v>251</v>
      </c>
      <c r="D32" s="36" t="n">
        <f aca="false">-SUMPRODUCT(((LEFT(Balance!$B$7:$B$400,3)="738"))*Balance!D$7:D$400)</f>
        <v>20595.43</v>
      </c>
      <c r="E32" s="37" t="n">
        <f aca="false">-SUMPRODUCT(((LEFT(Balance!$B$7:$B$400,3)="738"))*Balance!E$7:E$400)</f>
        <v>19582.63</v>
      </c>
      <c r="F32" s="37" t="n">
        <f aca="false">-SUMPRODUCT(((LEFT(Balance!$B$7:$B$400,3)="738"))*Balance!F$7:F$400)</f>
        <v>20053.32</v>
      </c>
      <c r="G32" s="37" t="n">
        <f aca="false">-SUMPRODUCT(((LEFT(Balance!$B$7:$B$400,3)="738"))*Balance!G$7:G$400)</f>
        <v>21389.3</v>
      </c>
      <c r="H32" s="37" t="n">
        <f aca="false">-SUMPRODUCT(((LEFT(Balance!$B$7:$B$400,3)="738"))*Balance!H$7:H$400)</f>
        <v>21125.16</v>
      </c>
      <c r="I32" s="37" t="n">
        <f aca="false">-SUMPRODUCT(((LEFT(Balance!$B$7:$B$400,3)="738"))*Balance!I$7:I$400)</f>
        <v>21604.6</v>
      </c>
      <c r="J32" s="37" t="n">
        <f aca="false">-SUMPRODUCT(((LEFT(Balance!$B$7:$B$400,3)="738"))*Balance!J$7:J$400)</f>
        <v>21886.58</v>
      </c>
      <c r="K32" s="37" t="n">
        <f aca="false">-SUMPRODUCT(((LEFT(Balance!$B$7:$B$400,3)="738"))*Balance!K$7:K$400)</f>
        <v>20833.48</v>
      </c>
      <c r="L32" s="37" t="n">
        <f aca="false">-SUMPRODUCT(((LEFT(Balance!$B$7:$B$400,3)="738"))*Balance!L$7:L$400)</f>
        <v>16122.89</v>
      </c>
      <c r="M32" s="37" t="n">
        <f aca="false">-SUMPRODUCT(((LEFT(Balance!$B$7:$B$400,3)="738"))*Balance!M$7:M$400)</f>
        <v>21140.05</v>
      </c>
      <c r="N32" s="37" t="n">
        <f aca="false">-SUMPRODUCT(((LEFT(Balance!$B$7:$B$400,3)="738"))*Balance!N$7:N$400)</f>
        <v>21696.47</v>
      </c>
      <c r="O32" s="37" t="n">
        <f aca="false">-SUMPRODUCT(((LEFT(Balance!$B$7:$B$400,3)="738"))*Balance!O$7:O$400)</f>
        <v>21376.13</v>
      </c>
      <c r="P32" s="37" t="n">
        <f aca="false">-SUMPRODUCT(((LEFT(Balance!$B$7:$B$400,3)="738"))*Balance!P$7:P$400)</f>
        <v>23189.36</v>
      </c>
      <c r="Q32" s="38" t="n">
        <f aca="false">SUM(E32:P32)</f>
        <v>249999.97</v>
      </c>
    </row>
    <row r="33" customFormat="false" ht="15" hidden="false" customHeight="false" outlineLevel="0" collapsed="false">
      <c r="B33" s="19" t="s">
        <v>252</v>
      </c>
      <c r="C33" s="35" t="s">
        <v>253</v>
      </c>
      <c r="D33" s="36" t="n">
        <f aca="false">-SUMPRODUCT(((LEFT(Balance!$B$7:$B$400,3)="739"))*Balance!D$7:D$400)</f>
        <v>-0</v>
      </c>
      <c r="E33" s="37" t="n">
        <f aca="false">-SUMPRODUCT(((LEFT(Balance!$B$7:$B$400,3)="739"))*Balance!E$7:E$400)</f>
        <v>-0</v>
      </c>
      <c r="F33" s="37" t="n">
        <f aca="false">-SUMPRODUCT(((LEFT(Balance!$B$7:$B$400,3)="739"))*Balance!F$7:F$400)</f>
        <v>-0</v>
      </c>
      <c r="G33" s="37" t="n">
        <f aca="false">-SUMPRODUCT(((LEFT(Balance!$B$7:$B$400,3)="739"))*Balance!G$7:G$400)</f>
        <v>-0</v>
      </c>
      <c r="H33" s="37" t="n">
        <f aca="false">-SUMPRODUCT(((LEFT(Balance!$B$7:$B$400,3)="739"))*Balance!H$7:H$400)</f>
        <v>-0</v>
      </c>
      <c r="I33" s="37" t="n">
        <f aca="false">-SUMPRODUCT(((LEFT(Balance!$B$7:$B$400,3)="739"))*Balance!I$7:I$400)</f>
        <v>-0</v>
      </c>
      <c r="J33" s="37" t="n">
        <f aca="false">-SUMPRODUCT(((LEFT(Balance!$B$7:$B$400,3)="739"))*Balance!J$7:J$400)</f>
        <v>-0</v>
      </c>
      <c r="K33" s="37" t="n">
        <f aca="false">-SUMPRODUCT(((LEFT(Balance!$B$7:$B$400,3)="739"))*Balance!K$7:K$400)</f>
        <v>-0</v>
      </c>
      <c r="L33" s="37" t="n">
        <f aca="false">-SUMPRODUCT(((LEFT(Balance!$B$7:$B$400,3)="739"))*Balance!L$7:L$400)</f>
        <v>-0</v>
      </c>
      <c r="M33" s="37" t="n">
        <f aca="false">-SUMPRODUCT(((LEFT(Balance!$B$7:$B$400,3)="739"))*Balance!M$7:M$400)</f>
        <v>-0</v>
      </c>
      <c r="N33" s="37" t="n">
        <f aca="false">-SUMPRODUCT(((LEFT(Balance!$B$7:$B$400,3)="739"))*Balance!N$7:N$400)</f>
        <v>-0</v>
      </c>
      <c r="O33" s="37" t="n">
        <f aca="false">-SUMPRODUCT(((LEFT(Balance!$B$7:$B$400,3)="739"))*Balance!O$7:O$400)</f>
        <v>-0</v>
      </c>
      <c r="P33" s="37" t="n">
        <f aca="false">-SUMPRODUCT(((LEFT(Balance!$B$7:$B$400,3)="739"))*Balance!P$7:P$400)</f>
        <v>-0</v>
      </c>
      <c r="Q33" s="38" t="n">
        <f aca="false">SUM(E33:P33)</f>
        <v>0</v>
      </c>
    </row>
    <row r="34" customFormat="false" ht="15" hidden="false" customHeight="false" outlineLevel="0" collapsed="false">
      <c r="B34" s="41" t="s">
        <v>254</v>
      </c>
      <c r="C34" s="42"/>
      <c r="D34" s="43" t="n">
        <f aca="false">D30+D31+D32+D33</f>
        <v>140595.43</v>
      </c>
      <c r="E34" s="43" t="n">
        <f aca="false">E30+E31+E32+E33</f>
        <v>139582.63</v>
      </c>
      <c r="F34" s="43" t="n">
        <f aca="false">F30+F31+F32+F33</f>
        <v>120053.32</v>
      </c>
      <c r="G34" s="43" t="n">
        <f aca="false">G30+G31+G32+G33</f>
        <v>61389.3</v>
      </c>
      <c r="H34" s="43" t="n">
        <f aca="false">H30+H31+H32+H33</f>
        <v>171125.16</v>
      </c>
      <c r="I34" s="43" t="n">
        <f aca="false">I30+I31+I32+I33</f>
        <v>151604.6</v>
      </c>
      <c r="J34" s="43" t="n">
        <f aca="false">J30+J31+J32+J33</f>
        <v>161886.58</v>
      </c>
      <c r="K34" s="43" t="n">
        <f aca="false">K30+K31+K32+K33</f>
        <v>130833.48</v>
      </c>
      <c r="L34" s="43" t="n">
        <f aca="false">L30+L31+L32+L33</f>
        <v>76122.89</v>
      </c>
      <c r="M34" s="43" t="n">
        <f aca="false">M30+M31+M32+M33</f>
        <v>171140.05</v>
      </c>
      <c r="N34" s="43" t="n">
        <f aca="false">N30+N31+N32+N33</f>
        <v>141696.47</v>
      </c>
      <c r="O34" s="43" t="n">
        <f aca="false">O30+O31+O32+O33</f>
        <v>161376.13</v>
      </c>
      <c r="P34" s="43" t="n">
        <f aca="false">P30+P31+P32+P33</f>
        <v>163189.36</v>
      </c>
      <c r="Q34" s="43" t="n">
        <f aca="false">SUM(E34:P34)</f>
        <v>1649999.97</v>
      </c>
    </row>
    <row r="35" customFormat="false" ht="15" hidden="false" customHeight="false" outlineLevel="0" collapsed="false">
      <c r="B35" s="34" t="s">
        <v>255</v>
      </c>
    </row>
    <row r="36" customFormat="false" ht="15" hidden="false" customHeight="false" outlineLevel="0" collapsed="false">
      <c r="B36" s="19" t="s">
        <v>256</v>
      </c>
      <c r="C36" s="35" t="s">
        <v>257</v>
      </c>
      <c r="D36" s="36" t="n">
        <f aca="false">SUMPRODUCT(((LEFT(Balance!$B$7:$B$400,3)="631"))*Balance!D$7:D$400)</f>
        <v>282826.99</v>
      </c>
      <c r="E36" s="37" t="n">
        <f aca="false">SUMPRODUCT(((LEFT(Balance!$B$7:$B$400,3)="631"))*Balance!E$7:E$400)</f>
        <v>280012.79</v>
      </c>
      <c r="F36" s="37" t="n">
        <f aca="false">SUMPRODUCT(((LEFT(Balance!$B$7:$B$400,3)="631"))*Balance!F$7:F$400)</f>
        <v>277198.59</v>
      </c>
      <c r="G36" s="37" t="n">
        <f aca="false">SUMPRODUCT(((LEFT(Balance!$B$7:$B$400,3)="631"))*Balance!G$7:G$400)</f>
        <v>274384.39</v>
      </c>
      <c r="H36" s="37" t="n">
        <f aca="false">SUMPRODUCT(((LEFT(Balance!$B$7:$B$400,3)="631"))*Balance!H$7:H$400)</f>
        <v>271570.2</v>
      </c>
      <c r="I36" s="37" t="n">
        <f aca="false">SUMPRODUCT(((LEFT(Balance!$B$7:$B$400,3)="631"))*Balance!I$7:I$400)</f>
        <v>268756</v>
      </c>
      <c r="J36" s="37" t="n">
        <f aca="false">SUMPRODUCT(((LEFT(Balance!$B$7:$B$400,3)="631"))*Balance!J$7:J$400)</f>
        <v>265941.8</v>
      </c>
      <c r="K36" s="37" t="n">
        <f aca="false">SUMPRODUCT(((LEFT(Balance!$B$7:$B$400,3)="631"))*Balance!K$7:K$400)</f>
        <v>265685.96</v>
      </c>
      <c r="L36" s="37" t="n">
        <f aca="false">SUMPRODUCT(((LEFT(Balance!$B$7:$B$400,3)="631"))*Balance!L$7:L$400)</f>
        <v>270546.85</v>
      </c>
      <c r="M36" s="37" t="n">
        <f aca="false">SUMPRODUCT(((LEFT(Balance!$B$7:$B$400,3)="631"))*Balance!M$7:M$400)</f>
        <v>267732.65</v>
      </c>
      <c r="N36" s="37" t="n">
        <f aca="false">SUMPRODUCT(((LEFT(Balance!$B$7:$B$400,3)="631"))*Balance!N$7:N$400)</f>
        <v>257243.36</v>
      </c>
      <c r="O36" s="37" t="n">
        <f aca="false">SUMPRODUCT(((LEFT(Balance!$B$7:$B$400,3)="631"))*Balance!O$7:O$400)</f>
        <v>251870.8</v>
      </c>
      <c r="P36" s="37" t="n">
        <f aca="false">SUMPRODUCT(((LEFT(Balance!$B$7:$B$400,3)="631"))*Balance!P$7:P$400)</f>
        <v>249056.6</v>
      </c>
      <c r="Q36" s="38" t="n">
        <f aca="false">SUM(E36:P36)</f>
        <v>3199999.99</v>
      </c>
    </row>
    <row r="37" customFormat="false" ht="15" hidden="false" customHeight="false" outlineLevel="0" collapsed="false">
      <c r="B37" s="19" t="s">
        <v>174</v>
      </c>
      <c r="C37" s="35" t="s">
        <v>258</v>
      </c>
      <c r="D37" s="36" t="n">
        <f aca="false">SUMPRODUCT(((LEFT(Balance!$B$7:$B$400,3)="633"))*Balance!D$7:D$400)</f>
        <v>100000</v>
      </c>
      <c r="E37" s="37" t="n">
        <f aca="false">SUMPRODUCT(((LEFT(Balance!$B$7:$B$400,3)="633"))*Balance!E$7:E$400)</f>
        <v>50000</v>
      </c>
      <c r="F37" s="37" t="n">
        <f aca="false">SUMPRODUCT(((LEFT(Balance!$B$7:$B$400,3)="633"))*Balance!F$7:F$400)</f>
        <v>80000</v>
      </c>
      <c r="G37" s="37" t="n">
        <f aca="false">SUMPRODUCT(((LEFT(Balance!$B$7:$B$400,3)="633"))*Balance!G$7:G$400)</f>
        <v>750000</v>
      </c>
      <c r="H37" s="37" t="n">
        <f aca="false">SUMPRODUCT(((LEFT(Balance!$B$7:$B$400,3)="633"))*Balance!H$7:H$400)</f>
        <v>100000</v>
      </c>
      <c r="I37" s="37" t="n">
        <f aca="false">SUMPRODUCT(((LEFT(Balance!$B$7:$B$400,3)="633"))*Balance!I$7:I$400)</f>
        <v>80000</v>
      </c>
      <c r="J37" s="37" t="n">
        <f aca="false">SUMPRODUCT(((LEFT(Balance!$B$7:$B$400,3)="633"))*Balance!J$7:J$400)</f>
        <v>60000</v>
      </c>
      <c r="K37" s="37" t="n">
        <f aca="false">SUMPRODUCT(((LEFT(Balance!$B$7:$B$400,3)="633"))*Balance!K$7:K$400)</f>
        <v>100000</v>
      </c>
      <c r="L37" s="37" t="n">
        <f aca="false">SUMPRODUCT(((LEFT(Balance!$B$7:$B$400,3)="633"))*Balance!L$7:L$400)</f>
        <v>40000</v>
      </c>
      <c r="M37" s="37" t="n">
        <f aca="false">SUMPRODUCT(((LEFT(Balance!$B$7:$B$400,3)="633"))*Balance!M$7:M$400)</f>
        <v>120000</v>
      </c>
      <c r="N37" s="37" t="n">
        <f aca="false">SUMPRODUCT(((LEFT(Balance!$B$7:$B$400,3)="633"))*Balance!N$7:N$400)</f>
        <v>150000</v>
      </c>
      <c r="O37" s="37" t="n">
        <f aca="false">SUMPRODUCT(((LEFT(Balance!$B$7:$B$400,3)="633"))*Balance!O$7:O$400)</f>
        <v>200000</v>
      </c>
      <c r="P37" s="37" t="n">
        <f aca="false">SUMPRODUCT(((LEFT(Balance!$B$7:$B$400,3)="633"))*Balance!P$7:P$400)</f>
        <v>70000</v>
      </c>
      <c r="Q37" s="38" t="n">
        <f aca="false">SUM(E37:P37)</f>
        <v>1800000</v>
      </c>
    </row>
    <row r="38" customFormat="false" ht="15" hidden="false" customHeight="false" outlineLevel="0" collapsed="false">
      <c r="B38" s="19" t="s">
        <v>259</v>
      </c>
      <c r="C38" s="35" t="s">
        <v>260</v>
      </c>
      <c r="D38" s="36" t="n">
        <f aca="false">SUMPRODUCT(((LEFT(Balance!$B$7:$B$400,3)="638"))*Balance!D$7:D$400)</f>
        <v>12220.52</v>
      </c>
      <c r="E38" s="37" t="n">
        <f aca="false">SUMPRODUCT(((LEFT(Balance!$B$7:$B$400,3)="638"))*Balance!E$7:E$400)</f>
        <v>11434.78</v>
      </c>
      <c r="F38" s="37" t="n">
        <f aca="false">SUMPRODUCT(((LEFT(Balance!$B$7:$B$400,3)="638"))*Balance!F$7:F$400)</f>
        <v>11936.62</v>
      </c>
      <c r="G38" s="37" t="n">
        <f aca="false">SUMPRODUCT(((LEFT(Balance!$B$7:$B$400,3)="638"))*Balance!G$7:G$400)</f>
        <v>13294</v>
      </c>
      <c r="H38" s="37" t="n">
        <f aca="false">SUMPRODUCT(((LEFT(Balance!$B$7:$B$400,3)="638"))*Balance!H$7:H$400)</f>
        <v>12619.19</v>
      </c>
      <c r="I38" s="37" t="n">
        <f aca="false">SUMPRODUCT(((LEFT(Balance!$B$7:$B$400,3)="638"))*Balance!I$7:I$400)</f>
        <v>13246.78</v>
      </c>
      <c r="J38" s="37" t="n">
        <f aca="false">SUMPRODUCT(((LEFT(Balance!$B$7:$B$400,3)="638"))*Balance!J$7:J$400)</f>
        <v>13584.99</v>
      </c>
      <c r="K38" s="37" t="n">
        <f aca="false">SUMPRODUCT(((LEFT(Balance!$B$7:$B$400,3)="638"))*Balance!K$7:K$400)</f>
        <v>12223.61</v>
      </c>
      <c r="L38" s="37" t="n">
        <f aca="false">SUMPRODUCT(((LEFT(Balance!$B$7:$B$400,3)="638"))*Balance!L$7:L$400)</f>
        <v>7803.87</v>
      </c>
      <c r="M38" s="37" t="n">
        <f aca="false">SUMPRODUCT(((LEFT(Balance!$B$7:$B$400,3)="638"))*Balance!M$7:M$400)</f>
        <v>12941.13</v>
      </c>
      <c r="N38" s="37" t="n">
        <f aca="false">SUMPRODUCT(((LEFT(Balance!$B$7:$B$400,3)="638"))*Balance!N$7:N$400)</f>
        <v>13517.6</v>
      </c>
      <c r="O38" s="37" t="n">
        <f aca="false">SUMPRODUCT(((LEFT(Balance!$B$7:$B$400,3)="638"))*Balance!O$7:O$400)</f>
        <v>12827.92</v>
      </c>
      <c r="P38" s="37" t="n">
        <f aca="false">SUMPRODUCT(((LEFT(Balance!$B$7:$B$400,3)="638"))*Balance!P$7:P$400)</f>
        <v>14569.51</v>
      </c>
      <c r="Q38" s="38" t="n">
        <f aca="false">SUM(E38:P38)</f>
        <v>150000</v>
      </c>
    </row>
    <row r="39" customFormat="false" ht="15" hidden="false" customHeight="false" outlineLevel="0" collapsed="false">
      <c r="B39" s="19" t="s">
        <v>261</v>
      </c>
      <c r="C39" s="35" t="s">
        <v>262</v>
      </c>
      <c r="D39" s="36" t="n">
        <f aca="false">SUMPRODUCT(((LEFT(Balance!$B$7:$B$400,3)="639"))*Balance!D$7:D$400)</f>
        <v>0</v>
      </c>
      <c r="E39" s="37" t="n">
        <f aca="false">SUMPRODUCT(((LEFT(Balance!$B$7:$B$400,3)="639"))*Balance!E$7:E$400)</f>
        <v>0</v>
      </c>
      <c r="F39" s="37" t="n">
        <f aca="false">SUMPRODUCT(((LEFT(Balance!$B$7:$B$400,3)="639"))*Balance!F$7:F$400)</f>
        <v>0</v>
      </c>
      <c r="G39" s="37" t="n">
        <f aca="false">SUMPRODUCT(((LEFT(Balance!$B$7:$B$400,3)="639"))*Balance!G$7:G$400)</f>
        <v>0</v>
      </c>
      <c r="H39" s="37" t="n">
        <f aca="false">SUMPRODUCT(((LEFT(Balance!$B$7:$B$400,3)="639"))*Balance!H$7:H$400)</f>
        <v>0</v>
      </c>
      <c r="I39" s="37" t="n">
        <f aca="false">SUMPRODUCT(((LEFT(Balance!$B$7:$B$400,3)="639"))*Balance!I$7:I$400)</f>
        <v>0</v>
      </c>
      <c r="J39" s="37" t="n">
        <f aca="false">SUMPRODUCT(((LEFT(Balance!$B$7:$B$400,3)="639"))*Balance!J$7:J$400)</f>
        <v>0</v>
      </c>
      <c r="K39" s="37" t="n">
        <f aca="false">SUMPRODUCT(((LEFT(Balance!$B$7:$B$400,3)="639"))*Balance!K$7:K$400)</f>
        <v>0</v>
      </c>
      <c r="L39" s="37" t="n">
        <f aca="false">SUMPRODUCT(((LEFT(Balance!$B$7:$B$400,3)="639"))*Balance!L$7:L$400)</f>
        <v>0</v>
      </c>
      <c r="M39" s="37" t="n">
        <f aca="false">SUMPRODUCT(((LEFT(Balance!$B$7:$B$400,3)="639"))*Balance!M$7:M$400)</f>
        <v>0</v>
      </c>
      <c r="N39" s="37" t="n">
        <f aca="false">SUMPRODUCT(((LEFT(Balance!$B$7:$B$400,3)="639"))*Balance!N$7:N$400)</f>
        <v>0</v>
      </c>
      <c r="O39" s="37" t="n">
        <f aca="false">SUMPRODUCT(((LEFT(Balance!$B$7:$B$400,3)="639"))*Balance!O$7:O$400)</f>
        <v>0</v>
      </c>
      <c r="P39" s="37" t="n">
        <f aca="false">SUMPRODUCT(((LEFT(Balance!$B$7:$B$400,3)="639"))*Balance!P$7:P$400)</f>
        <v>0</v>
      </c>
      <c r="Q39" s="38" t="n">
        <f aca="false">SUM(E39:P39)</f>
        <v>0</v>
      </c>
    </row>
    <row r="40" customFormat="false" ht="15" hidden="false" customHeight="false" outlineLevel="0" collapsed="false">
      <c r="B40" s="41" t="s">
        <v>263</v>
      </c>
      <c r="C40" s="42"/>
      <c r="D40" s="43" t="n">
        <f aca="false">D36+D37+D38+D39</f>
        <v>395047.51</v>
      </c>
      <c r="E40" s="43" t="n">
        <f aca="false">E36+E37+E38+E39</f>
        <v>341447.57</v>
      </c>
      <c r="F40" s="43" t="n">
        <f aca="false">F36+F37+F38+F39</f>
        <v>369135.21</v>
      </c>
      <c r="G40" s="43" t="n">
        <f aca="false">G36+G37+G38+G39</f>
        <v>1037678.39</v>
      </c>
      <c r="H40" s="43" t="n">
        <f aca="false">H36+H37+H38+H39</f>
        <v>384189.39</v>
      </c>
      <c r="I40" s="43" t="n">
        <f aca="false">I36+I37+I38+I39</f>
        <v>362002.78</v>
      </c>
      <c r="J40" s="43" t="n">
        <f aca="false">J36+J37+J38+J39</f>
        <v>339526.79</v>
      </c>
      <c r="K40" s="43" t="n">
        <f aca="false">K36+K37+K38+K39</f>
        <v>377909.57</v>
      </c>
      <c r="L40" s="43" t="n">
        <f aca="false">L36+L37+L38+L39</f>
        <v>318350.72</v>
      </c>
      <c r="M40" s="43" t="n">
        <f aca="false">M36+M37+M38+M39</f>
        <v>400673.78</v>
      </c>
      <c r="N40" s="43" t="n">
        <f aca="false">N36+N37+N38+N39</f>
        <v>420760.96</v>
      </c>
      <c r="O40" s="43" t="n">
        <f aca="false">O36+O37+O38+O39</f>
        <v>464698.72</v>
      </c>
      <c r="P40" s="43" t="n">
        <f aca="false">P36+P37+P38+P39</f>
        <v>333626.11</v>
      </c>
      <c r="Q40" s="43" t="n">
        <f aca="false">SUM(E40:P40)</f>
        <v>5149999.99</v>
      </c>
    </row>
    <row r="41" customFormat="false" ht="19.5" hidden="false" customHeight="true" outlineLevel="0" collapsed="false">
      <c r="B41" s="44" t="s">
        <v>264</v>
      </c>
      <c r="C41" s="45"/>
      <c r="D41" s="46" t="n">
        <f aca="false">D34-D40</f>
        <v>-254452.08</v>
      </c>
      <c r="E41" s="46" t="n">
        <f aca="false">E34-E40</f>
        <v>-201864.94</v>
      </c>
      <c r="F41" s="46" t="n">
        <f aca="false">F34-F40</f>
        <v>-249081.89</v>
      </c>
      <c r="G41" s="46" t="n">
        <f aca="false">G34-G40</f>
        <v>-976289.09</v>
      </c>
      <c r="H41" s="46" t="n">
        <f aca="false">H34-H40</f>
        <v>-213064.23</v>
      </c>
      <c r="I41" s="46" t="n">
        <f aca="false">I34-I40</f>
        <v>-210398.18</v>
      </c>
      <c r="J41" s="46" t="n">
        <f aca="false">J34-J40</f>
        <v>-177640.21</v>
      </c>
      <c r="K41" s="46" t="n">
        <f aca="false">K34-K40</f>
        <v>-247076.09</v>
      </c>
      <c r="L41" s="46" t="n">
        <f aca="false">L34-L40</f>
        <v>-242227.83</v>
      </c>
      <c r="M41" s="46" t="n">
        <f aca="false">M34-M40</f>
        <v>-229533.73</v>
      </c>
      <c r="N41" s="46" t="n">
        <f aca="false">N34-N40</f>
        <v>-279064.49</v>
      </c>
      <c r="O41" s="46" t="n">
        <f aca="false">O34-O40</f>
        <v>-303322.59</v>
      </c>
      <c r="P41" s="46" t="n">
        <f aca="false">P34-P40</f>
        <v>-170436.75</v>
      </c>
      <c r="Q41" s="46" t="n">
        <f aca="false">SUM(E41:P41)</f>
        <v>-3500000.02</v>
      </c>
    </row>
    <row r="42" customFormat="false" ht="19.5" hidden="false" customHeight="true" outlineLevel="0" collapsed="false">
      <c r="B42" s="44" t="s">
        <v>265</v>
      </c>
      <c r="C42" s="45"/>
      <c r="D42" s="46" t="n">
        <f aca="false">D27+D41</f>
        <v>248549.42</v>
      </c>
      <c r="E42" s="46" t="n">
        <f aca="false">E27+E41</f>
        <v>909587.950000001</v>
      </c>
      <c r="F42" s="46" t="n">
        <f aca="false">F27+F41</f>
        <v>1323359.72</v>
      </c>
      <c r="G42" s="46" t="n">
        <f aca="false">G27+G41</f>
        <v>1322665.99</v>
      </c>
      <c r="H42" s="46" t="n">
        <f aca="false">H27+H41</f>
        <v>1059498.19</v>
      </c>
      <c r="I42" s="46" t="n">
        <f aca="false">I27+I41</f>
        <v>1778702.43</v>
      </c>
      <c r="J42" s="46" t="n">
        <f aca="false">J27+J41</f>
        <v>2092353.99</v>
      </c>
      <c r="K42" s="46" t="n">
        <f aca="false">K27+K41</f>
        <v>1471027.98</v>
      </c>
      <c r="L42" s="46" t="n">
        <f aca="false">L27+L41</f>
        <v>-406855.66</v>
      </c>
      <c r="M42" s="46" t="n">
        <f aca="false">M27+M41</f>
        <v>637249.300000001</v>
      </c>
      <c r="N42" s="46" t="n">
        <f aca="false">N27+N41</f>
        <v>1388187.41</v>
      </c>
      <c r="O42" s="46" t="n">
        <f aca="false">O27+O41</f>
        <v>1243708.43</v>
      </c>
      <c r="P42" s="46" t="n">
        <f aca="false">P27+P41</f>
        <v>1160514.44</v>
      </c>
      <c r="Q42" s="46" t="n">
        <f aca="false">SUM(E42:P42)</f>
        <v>13980000.17</v>
      </c>
    </row>
    <row r="43" customFormat="false" ht="21.75" hidden="false" customHeight="true" outlineLevel="0" collapsed="false">
      <c r="B43" s="33" t="s">
        <v>266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</row>
    <row r="44" customFormat="false" ht="15" hidden="false" customHeight="false" outlineLevel="0" collapsed="false">
      <c r="B44" s="34" t="s">
        <v>267</v>
      </c>
    </row>
    <row r="45" customFormat="false" ht="15" hidden="false" customHeight="false" outlineLevel="0" collapsed="false">
      <c r="B45" s="19" t="s">
        <v>268</v>
      </c>
      <c r="C45" s="35" t="s">
        <v>269</v>
      </c>
      <c r="D45" s="36" t="n">
        <f aca="false">-SUMPRODUCT(((LEFT(Balance!$B$7:$B$400,3)="751"))*Balance!D$7:D$400)</f>
        <v>-0</v>
      </c>
      <c r="E45" s="37" t="n">
        <f aca="false">-SUMPRODUCT(((LEFT(Balance!$B$7:$B$400,3)="751"))*Balance!E$7:E$400)</f>
        <v>-0</v>
      </c>
      <c r="F45" s="37" t="n">
        <f aca="false">-SUMPRODUCT(((LEFT(Balance!$B$7:$B$400,3)="751"))*Balance!F$7:F$400)</f>
        <v>-0</v>
      </c>
      <c r="G45" s="37" t="n">
        <f aca="false">-SUMPRODUCT(((LEFT(Balance!$B$7:$B$400,3)="751"))*Balance!G$7:G$400)</f>
        <v>-0</v>
      </c>
      <c r="H45" s="37" t="n">
        <f aca="false">-SUMPRODUCT(((LEFT(Balance!$B$7:$B$400,3)="751"))*Balance!H$7:H$400)</f>
        <v>-0</v>
      </c>
      <c r="I45" s="37" t="n">
        <f aca="false">-SUMPRODUCT(((LEFT(Balance!$B$7:$B$400,3)="751"))*Balance!I$7:I$400)</f>
        <v>-0</v>
      </c>
      <c r="J45" s="37" t="n">
        <f aca="false">-SUMPRODUCT(((LEFT(Balance!$B$7:$B$400,3)="751"))*Balance!J$7:J$400)</f>
        <v>-0</v>
      </c>
      <c r="K45" s="37" t="n">
        <f aca="false">-SUMPRODUCT(((LEFT(Balance!$B$7:$B$400,3)="751"))*Balance!K$7:K$400)</f>
        <v>-0</v>
      </c>
      <c r="L45" s="37" t="n">
        <f aca="false">-SUMPRODUCT(((LEFT(Balance!$B$7:$B$400,3)="751"))*Balance!L$7:L$400)</f>
        <v>-0</v>
      </c>
      <c r="M45" s="37" t="n">
        <f aca="false">-SUMPRODUCT(((LEFT(Balance!$B$7:$B$400,3)="751"))*Balance!M$7:M$400)</f>
        <v>-0</v>
      </c>
      <c r="N45" s="37" t="n">
        <f aca="false">-SUMPRODUCT(((LEFT(Balance!$B$7:$B$400,3)="751"))*Balance!N$7:N$400)</f>
        <v>300000</v>
      </c>
      <c r="O45" s="37" t="n">
        <f aca="false">-SUMPRODUCT(((LEFT(Balance!$B$7:$B$400,3)="751"))*Balance!O$7:O$400)</f>
        <v>-0</v>
      </c>
      <c r="P45" s="37" t="n">
        <f aca="false">-SUMPRODUCT(((LEFT(Balance!$B$7:$B$400,3)="751"))*Balance!P$7:P$400)</f>
        <v>-0</v>
      </c>
      <c r="Q45" s="38" t="n">
        <f aca="false">SUM(E45:P45)</f>
        <v>300000</v>
      </c>
    </row>
    <row r="46" customFormat="false" ht="15" hidden="false" customHeight="false" outlineLevel="0" collapsed="false">
      <c r="B46" s="19" t="s">
        <v>270</v>
      </c>
      <c r="C46" s="35" t="s">
        <v>271</v>
      </c>
      <c r="D46" s="36" t="n">
        <f aca="false">-SUMPRODUCT(((LEFT(Balance!$B$7:$B$400,3)="756"))*Balance!D$7:D$400)</f>
        <v>-0</v>
      </c>
      <c r="E46" s="37" t="n">
        <f aca="false">-SUMPRODUCT(((LEFT(Balance!$B$7:$B$400,3)="756"))*Balance!E$7:E$400)</f>
        <v>-0</v>
      </c>
      <c r="F46" s="37" t="n">
        <f aca="false">-SUMPRODUCT(((LEFT(Balance!$B$7:$B$400,3)="756"))*Balance!F$7:F$400)</f>
        <v>-0</v>
      </c>
      <c r="G46" s="37" t="n">
        <f aca="false">-SUMPRODUCT(((LEFT(Balance!$B$7:$B$400,3)="756"))*Balance!G$7:G$400)</f>
        <v>-0</v>
      </c>
      <c r="H46" s="37" t="n">
        <f aca="false">-SUMPRODUCT(((LEFT(Balance!$B$7:$B$400,3)="756"))*Balance!H$7:H$400)</f>
        <v>-0</v>
      </c>
      <c r="I46" s="37" t="n">
        <f aca="false">-SUMPRODUCT(((LEFT(Balance!$B$7:$B$400,3)="756"))*Balance!I$7:I$400)</f>
        <v>-0</v>
      </c>
      <c r="J46" s="37" t="n">
        <f aca="false">-SUMPRODUCT(((LEFT(Balance!$B$7:$B$400,3)="756"))*Balance!J$7:J$400)</f>
        <v>-0</v>
      </c>
      <c r="K46" s="37" t="n">
        <f aca="false">-SUMPRODUCT(((LEFT(Balance!$B$7:$B$400,3)="756"))*Balance!K$7:K$400)</f>
        <v>-0</v>
      </c>
      <c r="L46" s="37" t="n">
        <f aca="false">-SUMPRODUCT(((LEFT(Balance!$B$7:$B$400,3)="756"))*Balance!L$7:L$400)</f>
        <v>-0</v>
      </c>
      <c r="M46" s="37" t="n">
        <f aca="false">-SUMPRODUCT(((LEFT(Balance!$B$7:$B$400,3)="756"))*Balance!M$7:M$400)</f>
        <v>-0</v>
      </c>
      <c r="N46" s="37" t="n">
        <f aca="false">-SUMPRODUCT(((LEFT(Balance!$B$7:$B$400,3)="756"))*Balance!N$7:N$400)</f>
        <v>-0</v>
      </c>
      <c r="O46" s="37" t="n">
        <f aca="false">-SUMPRODUCT(((LEFT(Balance!$B$7:$B$400,3)="756"))*Balance!O$7:O$400)</f>
        <v>-0</v>
      </c>
      <c r="P46" s="37" t="n">
        <f aca="false">-SUMPRODUCT(((LEFT(Balance!$B$7:$B$400,3)="756"))*Balance!P$7:P$400)</f>
        <v>-0</v>
      </c>
      <c r="Q46" s="38" t="n">
        <f aca="false">SUM(E46:P46)</f>
        <v>0</v>
      </c>
    </row>
    <row r="47" customFormat="false" ht="15" hidden="false" customHeight="false" outlineLevel="0" collapsed="false">
      <c r="B47" s="19" t="s">
        <v>202</v>
      </c>
      <c r="C47" s="35" t="s">
        <v>272</v>
      </c>
      <c r="D47" s="36" t="n">
        <f aca="false">-SUMPRODUCT(((LEFT(Balance!$B$7:$B$400,3)="757"))*Balance!D$7:D$400)</f>
        <v>10000</v>
      </c>
      <c r="E47" s="37" t="n">
        <f aca="false">-SUMPRODUCT(((LEFT(Balance!$B$7:$B$400,3)="757"))*Balance!E$7:E$400)</f>
        <v>10000</v>
      </c>
      <c r="F47" s="37" t="n">
        <f aca="false">-SUMPRODUCT(((LEFT(Balance!$B$7:$B$400,3)="757"))*Balance!F$7:F$400)</f>
        <v>10000</v>
      </c>
      <c r="G47" s="37" t="n">
        <f aca="false">-SUMPRODUCT(((LEFT(Balance!$B$7:$B$400,3)="757"))*Balance!G$7:G$400)</f>
        <v>10000</v>
      </c>
      <c r="H47" s="37" t="n">
        <f aca="false">-SUMPRODUCT(((LEFT(Balance!$B$7:$B$400,3)="757"))*Balance!H$7:H$400)</f>
        <v>10000</v>
      </c>
      <c r="I47" s="37" t="n">
        <f aca="false">-SUMPRODUCT(((LEFT(Balance!$B$7:$B$400,3)="757"))*Balance!I$7:I$400)</f>
        <v>10000</v>
      </c>
      <c r="J47" s="37" t="n">
        <f aca="false">-SUMPRODUCT(((LEFT(Balance!$B$7:$B$400,3)="757"))*Balance!J$7:J$400)</f>
        <v>10000</v>
      </c>
      <c r="K47" s="37" t="n">
        <f aca="false">-SUMPRODUCT(((LEFT(Balance!$B$7:$B$400,3)="757"))*Balance!K$7:K$400)</f>
        <v>10000</v>
      </c>
      <c r="L47" s="37" t="n">
        <f aca="false">-SUMPRODUCT(((LEFT(Balance!$B$7:$B$400,3)="757"))*Balance!L$7:L$400)</f>
        <v>10000</v>
      </c>
      <c r="M47" s="37" t="n">
        <f aca="false">-SUMPRODUCT(((LEFT(Balance!$B$7:$B$400,3)="757"))*Balance!M$7:M$400)</f>
        <v>10000</v>
      </c>
      <c r="N47" s="37" t="n">
        <f aca="false">-SUMPRODUCT(((LEFT(Balance!$B$7:$B$400,3)="757"))*Balance!N$7:N$400)</f>
        <v>10000</v>
      </c>
      <c r="O47" s="37" t="n">
        <f aca="false">-SUMPRODUCT(((LEFT(Balance!$B$7:$B$400,3)="757"))*Balance!O$7:O$400)</f>
        <v>10000</v>
      </c>
      <c r="P47" s="37" t="n">
        <f aca="false">-SUMPRODUCT(((LEFT(Balance!$B$7:$B$400,3)="757"))*Balance!P$7:P$400)</f>
        <v>10000</v>
      </c>
      <c r="Q47" s="38" t="n">
        <f aca="false">SUM(E47:P47)</f>
        <v>120000</v>
      </c>
    </row>
    <row r="48" customFormat="false" ht="15" hidden="false" customHeight="false" outlineLevel="0" collapsed="false">
      <c r="B48" s="19" t="s">
        <v>273</v>
      </c>
      <c r="C48" s="35" t="s">
        <v>274</v>
      </c>
      <c r="D48" s="36" t="n">
        <f aca="false">-SUMPRODUCT(((LEFT(Balance!$B$7:$B$400,3)="758"))*Balance!D$7:D$400)</f>
        <v>-0</v>
      </c>
      <c r="E48" s="37" t="n">
        <f aca="false">-SUMPRODUCT(((LEFT(Balance!$B$7:$B$400,3)="758"))*Balance!E$7:E$400)</f>
        <v>-0</v>
      </c>
      <c r="F48" s="37" t="n">
        <f aca="false">-SUMPRODUCT(((LEFT(Balance!$B$7:$B$400,3)="758"))*Balance!F$7:F$400)</f>
        <v>-0</v>
      </c>
      <c r="G48" s="37" t="n">
        <f aca="false">-SUMPRODUCT(((LEFT(Balance!$B$7:$B$400,3)="758"))*Balance!G$7:G$400)</f>
        <v>-0</v>
      </c>
      <c r="H48" s="37" t="n">
        <f aca="false">-SUMPRODUCT(((LEFT(Balance!$B$7:$B$400,3)="758"))*Balance!H$7:H$400)</f>
        <v>-0</v>
      </c>
      <c r="I48" s="37" t="n">
        <f aca="false">-SUMPRODUCT(((LEFT(Balance!$B$7:$B$400,3)="758"))*Balance!I$7:I$400)</f>
        <v>-0</v>
      </c>
      <c r="J48" s="37" t="n">
        <f aca="false">-SUMPRODUCT(((LEFT(Balance!$B$7:$B$400,3)="758"))*Balance!J$7:J$400)</f>
        <v>-0</v>
      </c>
      <c r="K48" s="37" t="n">
        <f aca="false">-SUMPRODUCT(((LEFT(Balance!$B$7:$B$400,3)="758"))*Balance!K$7:K$400)</f>
        <v>-0</v>
      </c>
      <c r="L48" s="37" t="n">
        <f aca="false">-SUMPRODUCT(((LEFT(Balance!$B$7:$B$400,3)="758"))*Balance!L$7:L$400)</f>
        <v>-0</v>
      </c>
      <c r="M48" s="37" t="n">
        <f aca="false">-SUMPRODUCT(((LEFT(Balance!$B$7:$B$400,3)="758"))*Balance!M$7:M$400)</f>
        <v>-0</v>
      </c>
      <c r="N48" s="37" t="n">
        <f aca="false">-SUMPRODUCT(((LEFT(Balance!$B$7:$B$400,3)="758"))*Balance!N$7:N$400)</f>
        <v>-0</v>
      </c>
      <c r="O48" s="37" t="n">
        <f aca="false">-SUMPRODUCT(((LEFT(Balance!$B$7:$B$400,3)="758"))*Balance!O$7:O$400)</f>
        <v>-0</v>
      </c>
      <c r="P48" s="37" t="n">
        <f aca="false">-SUMPRODUCT(((LEFT(Balance!$B$7:$B$400,3)="758"))*Balance!P$7:P$400)</f>
        <v>-0</v>
      </c>
      <c r="Q48" s="38" t="n">
        <f aca="false">SUM(E48:P48)</f>
        <v>0</v>
      </c>
    </row>
    <row r="49" customFormat="false" ht="15" hidden="false" customHeight="false" outlineLevel="0" collapsed="false">
      <c r="B49" s="19" t="s">
        <v>275</v>
      </c>
      <c r="C49" s="35" t="s">
        <v>276</v>
      </c>
      <c r="D49" s="36" t="n">
        <f aca="false">-SUMPRODUCT(((LEFT(Balance!$B$7:$B$400,3)="759"))*Balance!D$7:D$400)</f>
        <v>-0</v>
      </c>
      <c r="E49" s="37" t="n">
        <f aca="false">-SUMPRODUCT(((LEFT(Balance!$B$7:$B$400,3)="759"))*Balance!E$7:E$400)</f>
        <v>-0</v>
      </c>
      <c r="F49" s="37" t="n">
        <f aca="false">-SUMPRODUCT(((LEFT(Balance!$B$7:$B$400,3)="759"))*Balance!F$7:F$400)</f>
        <v>-0</v>
      </c>
      <c r="G49" s="37" t="n">
        <f aca="false">-SUMPRODUCT(((LEFT(Balance!$B$7:$B$400,3)="759"))*Balance!G$7:G$400)</f>
        <v>-0</v>
      </c>
      <c r="H49" s="37" t="n">
        <f aca="false">-SUMPRODUCT(((LEFT(Balance!$B$7:$B$400,3)="759"))*Balance!H$7:H$400)</f>
        <v>-0</v>
      </c>
      <c r="I49" s="37" t="n">
        <f aca="false">-SUMPRODUCT(((LEFT(Balance!$B$7:$B$400,3)="759"))*Balance!I$7:I$400)</f>
        <v>-0</v>
      </c>
      <c r="J49" s="37" t="n">
        <f aca="false">-SUMPRODUCT(((LEFT(Balance!$B$7:$B$400,3)="759"))*Balance!J$7:J$400)</f>
        <v>-0</v>
      </c>
      <c r="K49" s="37" t="n">
        <f aca="false">-SUMPRODUCT(((LEFT(Balance!$B$7:$B$400,3)="759"))*Balance!K$7:K$400)</f>
        <v>-0</v>
      </c>
      <c r="L49" s="37" t="n">
        <f aca="false">-SUMPRODUCT(((LEFT(Balance!$B$7:$B$400,3)="759"))*Balance!L$7:L$400)</f>
        <v>-0</v>
      </c>
      <c r="M49" s="37" t="n">
        <f aca="false">-SUMPRODUCT(((LEFT(Balance!$B$7:$B$400,3)="759"))*Balance!M$7:M$400)</f>
        <v>-0</v>
      </c>
      <c r="N49" s="37" t="n">
        <f aca="false">-SUMPRODUCT(((LEFT(Balance!$B$7:$B$400,3)="759"))*Balance!N$7:N$400)</f>
        <v>-0</v>
      </c>
      <c r="O49" s="37" t="n">
        <f aca="false">-SUMPRODUCT(((LEFT(Balance!$B$7:$B$400,3)="759"))*Balance!O$7:O$400)</f>
        <v>-0</v>
      </c>
      <c r="P49" s="37" t="n">
        <f aca="false">-SUMPRODUCT(((LEFT(Balance!$B$7:$B$400,3)="759"))*Balance!P$7:P$400)</f>
        <v>-0</v>
      </c>
      <c r="Q49" s="38" t="n">
        <f aca="false">SUM(E49:P49)</f>
        <v>0</v>
      </c>
    </row>
    <row r="50" customFormat="false" ht="15" hidden="false" customHeight="false" outlineLevel="0" collapsed="false">
      <c r="B50" s="41" t="s">
        <v>277</v>
      </c>
      <c r="C50" s="42"/>
      <c r="D50" s="43" t="n">
        <f aca="false">D45+D46+D47+D48+D49</f>
        <v>10000</v>
      </c>
      <c r="E50" s="43" t="n">
        <f aca="false">E45+E46+E47+E48+E49</f>
        <v>10000</v>
      </c>
      <c r="F50" s="43" t="n">
        <f aca="false">F45+F46+F47+F48+F49</f>
        <v>10000</v>
      </c>
      <c r="G50" s="43" t="n">
        <f aca="false">G45+G46+G47+G48+G49</f>
        <v>10000</v>
      </c>
      <c r="H50" s="43" t="n">
        <f aca="false">H45+H46+H47+H48+H49</f>
        <v>10000</v>
      </c>
      <c r="I50" s="43" t="n">
        <f aca="false">I45+I46+I47+I48+I49</f>
        <v>10000</v>
      </c>
      <c r="J50" s="43" t="n">
        <f aca="false">J45+J46+J47+J48+J49</f>
        <v>10000</v>
      </c>
      <c r="K50" s="43" t="n">
        <f aca="false">K45+K46+K47+K48+K49</f>
        <v>10000</v>
      </c>
      <c r="L50" s="43" t="n">
        <f aca="false">L45+L46+L47+L48+L49</f>
        <v>10000</v>
      </c>
      <c r="M50" s="43" t="n">
        <f aca="false">M45+M46+M47+M48+M49</f>
        <v>10000</v>
      </c>
      <c r="N50" s="43" t="n">
        <f aca="false">N45+N46+N47+N48+N49</f>
        <v>310000</v>
      </c>
      <c r="O50" s="43" t="n">
        <f aca="false">O45+O46+O47+O48+O49</f>
        <v>10000</v>
      </c>
      <c r="P50" s="43" t="n">
        <f aca="false">P45+P46+P47+P48+P49</f>
        <v>10000</v>
      </c>
      <c r="Q50" s="43" t="n">
        <f aca="false">SUM(E50:P50)</f>
        <v>420000</v>
      </c>
    </row>
    <row r="51" customFormat="false" ht="15" hidden="false" customHeight="false" outlineLevel="0" collapsed="false">
      <c r="B51" s="34" t="s">
        <v>278</v>
      </c>
    </row>
    <row r="52" customFormat="false" ht="15" hidden="false" customHeight="false" outlineLevel="0" collapsed="false">
      <c r="B52" s="19" t="s">
        <v>279</v>
      </c>
      <c r="C52" s="35" t="s">
        <v>280</v>
      </c>
      <c r="D52" s="36" t="n">
        <f aca="false">SUMPRODUCT(((LEFT(Balance!$B$7:$B$400,3)="651"))*Balance!D$7:D$400)</f>
        <v>0</v>
      </c>
      <c r="E52" s="37" t="n">
        <f aca="false">SUMPRODUCT(((LEFT(Balance!$B$7:$B$400,3)="651"))*Balance!E$7:E$400)</f>
        <v>0</v>
      </c>
      <c r="F52" s="37" t="n">
        <f aca="false">SUMPRODUCT(((LEFT(Balance!$B$7:$B$400,3)="651"))*Balance!F$7:F$400)</f>
        <v>0</v>
      </c>
      <c r="G52" s="37" t="n">
        <f aca="false">SUMPRODUCT(((LEFT(Balance!$B$7:$B$400,3)="651"))*Balance!G$7:G$400)</f>
        <v>0</v>
      </c>
      <c r="H52" s="37" t="n">
        <f aca="false">SUMPRODUCT(((LEFT(Balance!$B$7:$B$400,3)="651"))*Balance!H$7:H$400)</f>
        <v>0</v>
      </c>
      <c r="I52" s="37" t="n">
        <f aca="false">SUMPRODUCT(((LEFT(Balance!$B$7:$B$400,3)="651"))*Balance!I$7:I$400)</f>
        <v>0</v>
      </c>
      <c r="J52" s="37" t="n">
        <f aca="false">SUMPRODUCT(((LEFT(Balance!$B$7:$B$400,3)="651"))*Balance!J$7:J$400)</f>
        <v>0</v>
      </c>
      <c r="K52" s="37" t="n">
        <f aca="false">SUMPRODUCT(((LEFT(Balance!$B$7:$B$400,3)="651"))*Balance!K$7:K$400)</f>
        <v>0</v>
      </c>
      <c r="L52" s="37" t="n">
        <f aca="false">SUMPRODUCT(((LEFT(Balance!$B$7:$B$400,3)="651"))*Balance!L$7:L$400)</f>
        <v>0</v>
      </c>
      <c r="M52" s="37" t="n">
        <f aca="false">SUMPRODUCT(((LEFT(Balance!$B$7:$B$400,3)="651"))*Balance!M$7:M$400)</f>
        <v>0</v>
      </c>
      <c r="N52" s="37" t="n">
        <f aca="false">SUMPRODUCT(((LEFT(Balance!$B$7:$B$400,3)="651"))*Balance!N$7:N$400)</f>
        <v>250000</v>
      </c>
      <c r="O52" s="37" t="n">
        <f aca="false">SUMPRODUCT(((LEFT(Balance!$B$7:$B$400,3)="651"))*Balance!O$7:O$400)</f>
        <v>0</v>
      </c>
      <c r="P52" s="37" t="n">
        <f aca="false">SUMPRODUCT(((LEFT(Balance!$B$7:$B$400,3)="651"))*Balance!P$7:P$400)</f>
        <v>0</v>
      </c>
      <c r="Q52" s="38" t="n">
        <f aca="false">SUM(E52:P52)</f>
        <v>250000</v>
      </c>
    </row>
    <row r="53" customFormat="false" ht="15" hidden="false" customHeight="false" outlineLevel="0" collapsed="false">
      <c r="B53" s="19" t="s">
        <v>281</v>
      </c>
      <c r="C53" s="35" t="s">
        <v>282</v>
      </c>
      <c r="D53" s="36" t="n">
        <f aca="false">SUMPRODUCT(((LEFT(Balance!$B$7:$B$400,3)="656"))*Balance!D$7:D$400)</f>
        <v>0</v>
      </c>
      <c r="E53" s="37" t="n">
        <f aca="false">SUMPRODUCT(((LEFT(Balance!$B$7:$B$400,3)="656"))*Balance!E$7:E$400)</f>
        <v>0</v>
      </c>
      <c r="F53" s="37" t="n">
        <f aca="false">SUMPRODUCT(((LEFT(Balance!$B$7:$B$400,3)="656"))*Balance!F$7:F$400)</f>
        <v>0</v>
      </c>
      <c r="G53" s="37" t="n">
        <f aca="false">SUMPRODUCT(((LEFT(Balance!$B$7:$B$400,3)="656"))*Balance!G$7:G$400)</f>
        <v>0</v>
      </c>
      <c r="H53" s="37" t="n">
        <f aca="false">SUMPRODUCT(((LEFT(Balance!$B$7:$B$400,3)="656"))*Balance!H$7:H$400)</f>
        <v>0</v>
      </c>
      <c r="I53" s="37" t="n">
        <f aca="false">SUMPRODUCT(((LEFT(Balance!$B$7:$B$400,3)="656"))*Balance!I$7:I$400)</f>
        <v>0</v>
      </c>
      <c r="J53" s="37" t="n">
        <f aca="false">SUMPRODUCT(((LEFT(Balance!$B$7:$B$400,3)="656"))*Balance!J$7:J$400)</f>
        <v>0</v>
      </c>
      <c r="K53" s="37" t="n">
        <f aca="false">SUMPRODUCT(((LEFT(Balance!$B$7:$B$400,3)="656"))*Balance!K$7:K$400)</f>
        <v>0</v>
      </c>
      <c r="L53" s="37" t="n">
        <f aca="false">SUMPRODUCT(((LEFT(Balance!$B$7:$B$400,3)="656"))*Balance!L$7:L$400)</f>
        <v>0</v>
      </c>
      <c r="M53" s="37" t="n">
        <f aca="false">SUMPRODUCT(((LEFT(Balance!$B$7:$B$400,3)="656"))*Balance!M$7:M$400)</f>
        <v>0</v>
      </c>
      <c r="N53" s="37" t="n">
        <f aca="false">SUMPRODUCT(((LEFT(Balance!$B$7:$B$400,3)="656"))*Balance!N$7:N$400)</f>
        <v>0</v>
      </c>
      <c r="O53" s="37" t="n">
        <f aca="false">SUMPRODUCT(((LEFT(Balance!$B$7:$B$400,3)="656"))*Balance!O$7:O$400)</f>
        <v>0</v>
      </c>
      <c r="P53" s="37" t="n">
        <f aca="false">SUMPRODUCT(((LEFT(Balance!$B$7:$B$400,3)="656"))*Balance!P$7:P$400)</f>
        <v>0</v>
      </c>
      <c r="Q53" s="38" t="n">
        <f aca="false">SUM(E53:P53)</f>
        <v>0</v>
      </c>
    </row>
    <row r="54" customFormat="false" ht="15" hidden="false" customHeight="false" outlineLevel="0" collapsed="false">
      <c r="B54" s="19" t="s">
        <v>283</v>
      </c>
      <c r="C54" s="35" t="s">
        <v>284</v>
      </c>
      <c r="D54" s="36" t="n">
        <f aca="false">SUMPRODUCT(((LEFT(Balance!$B$7:$B$400,3)="658"))*Balance!D$7:D$400)</f>
        <v>0</v>
      </c>
      <c r="E54" s="37" t="n">
        <f aca="false">SUMPRODUCT(((LEFT(Balance!$B$7:$B$400,3)="658"))*Balance!E$7:E$400)</f>
        <v>0</v>
      </c>
      <c r="F54" s="37" t="n">
        <f aca="false">SUMPRODUCT(((LEFT(Balance!$B$7:$B$400,3)="658"))*Balance!F$7:F$400)</f>
        <v>0</v>
      </c>
      <c r="G54" s="37" t="n">
        <f aca="false">SUMPRODUCT(((LEFT(Balance!$B$7:$B$400,3)="658"))*Balance!G$7:G$400)</f>
        <v>0</v>
      </c>
      <c r="H54" s="37" t="n">
        <f aca="false">SUMPRODUCT(((LEFT(Balance!$B$7:$B$400,3)="658"))*Balance!H$7:H$400)</f>
        <v>0</v>
      </c>
      <c r="I54" s="37" t="n">
        <f aca="false">SUMPRODUCT(((LEFT(Balance!$B$7:$B$400,3)="658"))*Balance!I$7:I$400)</f>
        <v>0</v>
      </c>
      <c r="J54" s="37" t="n">
        <f aca="false">SUMPRODUCT(((LEFT(Balance!$B$7:$B$400,3)="658"))*Balance!J$7:J$400)</f>
        <v>0</v>
      </c>
      <c r="K54" s="37" t="n">
        <f aca="false">SUMPRODUCT(((LEFT(Balance!$B$7:$B$400,3)="658"))*Balance!K$7:K$400)</f>
        <v>0</v>
      </c>
      <c r="L54" s="37" t="n">
        <f aca="false">SUMPRODUCT(((LEFT(Balance!$B$7:$B$400,3)="658"))*Balance!L$7:L$400)</f>
        <v>100000</v>
      </c>
      <c r="M54" s="37" t="n">
        <f aca="false">SUMPRODUCT(((LEFT(Balance!$B$7:$B$400,3)="658"))*Balance!M$7:M$400)</f>
        <v>200000</v>
      </c>
      <c r="N54" s="37" t="n">
        <f aca="false">SUMPRODUCT(((LEFT(Balance!$B$7:$B$400,3)="658"))*Balance!N$7:N$400)</f>
        <v>0</v>
      </c>
      <c r="O54" s="37" t="n">
        <f aca="false">SUMPRODUCT(((LEFT(Balance!$B$7:$B$400,3)="658"))*Balance!O$7:O$400)</f>
        <v>150000</v>
      </c>
      <c r="P54" s="37" t="n">
        <f aca="false">SUMPRODUCT(((LEFT(Balance!$B$7:$B$400,3)="658"))*Balance!P$7:P$400)</f>
        <v>0</v>
      </c>
      <c r="Q54" s="38" t="n">
        <f aca="false">SUM(E54:P54)</f>
        <v>450000</v>
      </c>
    </row>
    <row r="55" customFormat="false" ht="15" hidden="false" customHeight="false" outlineLevel="0" collapsed="false">
      <c r="B55" s="19" t="s">
        <v>285</v>
      </c>
      <c r="C55" s="35" t="s">
        <v>286</v>
      </c>
      <c r="D55" s="36" t="n">
        <f aca="false">SUMPRODUCT(((LEFT(Balance!$B$7:$B$400,3)="659"))*Balance!D$7:D$400)</f>
        <v>0</v>
      </c>
      <c r="E55" s="37" t="n">
        <f aca="false">SUMPRODUCT(((LEFT(Balance!$B$7:$B$400,3)="659"))*Balance!E$7:E$400)</f>
        <v>0</v>
      </c>
      <c r="F55" s="37" t="n">
        <f aca="false">SUMPRODUCT(((LEFT(Balance!$B$7:$B$400,3)="659"))*Balance!F$7:F$400)</f>
        <v>0</v>
      </c>
      <c r="G55" s="37" t="n">
        <f aca="false">SUMPRODUCT(((LEFT(Balance!$B$7:$B$400,3)="659"))*Balance!G$7:G$400)</f>
        <v>0</v>
      </c>
      <c r="H55" s="37" t="n">
        <f aca="false">SUMPRODUCT(((LEFT(Balance!$B$7:$B$400,3)="659"))*Balance!H$7:H$400)</f>
        <v>0</v>
      </c>
      <c r="I55" s="37" t="n">
        <f aca="false">SUMPRODUCT(((LEFT(Balance!$B$7:$B$400,3)="659"))*Balance!I$7:I$400)</f>
        <v>0</v>
      </c>
      <c r="J55" s="37" t="n">
        <f aca="false">SUMPRODUCT(((LEFT(Balance!$B$7:$B$400,3)="659"))*Balance!J$7:J$400)</f>
        <v>0</v>
      </c>
      <c r="K55" s="37" t="n">
        <f aca="false">SUMPRODUCT(((LEFT(Balance!$B$7:$B$400,3)="659"))*Balance!K$7:K$400)</f>
        <v>0</v>
      </c>
      <c r="L55" s="37" t="n">
        <f aca="false">SUMPRODUCT(((LEFT(Balance!$B$7:$B$400,3)="659"))*Balance!L$7:L$400)</f>
        <v>0</v>
      </c>
      <c r="M55" s="37" t="n">
        <f aca="false">SUMPRODUCT(((LEFT(Balance!$B$7:$B$400,3)="659"))*Balance!M$7:M$400)</f>
        <v>0</v>
      </c>
      <c r="N55" s="37" t="n">
        <f aca="false">SUMPRODUCT(((LEFT(Balance!$B$7:$B$400,3)="659"))*Balance!N$7:N$400)</f>
        <v>0</v>
      </c>
      <c r="O55" s="37" t="n">
        <f aca="false">SUMPRODUCT(((LEFT(Balance!$B$7:$B$400,3)="659"))*Balance!O$7:O$400)</f>
        <v>0</v>
      </c>
      <c r="P55" s="37" t="n">
        <f aca="false">SUMPRODUCT(((LEFT(Balance!$B$7:$B$400,3)="659"))*Balance!P$7:P$400)</f>
        <v>0</v>
      </c>
      <c r="Q55" s="38" t="n">
        <f aca="false">SUM(E55:P55)</f>
        <v>0</v>
      </c>
    </row>
    <row r="56" customFormat="false" ht="15" hidden="false" customHeight="false" outlineLevel="0" collapsed="false">
      <c r="B56" s="41" t="s">
        <v>287</v>
      </c>
      <c r="C56" s="42"/>
      <c r="D56" s="43" t="n">
        <f aca="false">D52+D53+D54+D55</f>
        <v>0</v>
      </c>
      <c r="E56" s="43" t="n">
        <f aca="false">E52+E53+E54+E55</f>
        <v>0</v>
      </c>
      <c r="F56" s="43" t="n">
        <f aca="false">F52+F53+F54+F55</f>
        <v>0</v>
      </c>
      <c r="G56" s="43" t="n">
        <f aca="false">G52+G53+G54+G55</f>
        <v>0</v>
      </c>
      <c r="H56" s="43" t="n">
        <f aca="false">H52+H53+H54+H55</f>
        <v>0</v>
      </c>
      <c r="I56" s="43" t="n">
        <f aca="false">I52+I53+I54+I55</f>
        <v>0</v>
      </c>
      <c r="J56" s="43" t="n">
        <f aca="false">J52+J53+J54+J55</f>
        <v>0</v>
      </c>
      <c r="K56" s="43" t="n">
        <f aca="false">K52+K53+K54+K55</f>
        <v>0</v>
      </c>
      <c r="L56" s="43" t="n">
        <f aca="false">L52+L53+L54+L55</f>
        <v>100000</v>
      </c>
      <c r="M56" s="43" t="n">
        <f aca="false">M52+M53+M54+M55</f>
        <v>200000</v>
      </c>
      <c r="N56" s="43" t="n">
        <f aca="false">N52+N53+N54+N55</f>
        <v>250000</v>
      </c>
      <c r="O56" s="43" t="n">
        <f aca="false">O52+O53+O54+O55</f>
        <v>150000</v>
      </c>
      <c r="P56" s="43" t="n">
        <f aca="false">P52+P53+P54+P55</f>
        <v>0</v>
      </c>
      <c r="Q56" s="43" t="n">
        <f aca="false">SUM(E56:P56)</f>
        <v>700000</v>
      </c>
    </row>
    <row r="57" customFormat="false" ht="19.5" hidden="false" customHeight="true" outlineLevel="0" collapsed="false">
      <c r="B57" s="44" t="s">
        <v>288</v>
      </c>
      <c r="C57" s="45"/>
      <c r="D57" s="46" t="n">
        <f aca="false">D50-D56</f>
        <v>10000</v>
      </c>
      <c r="E57" s="46" t="n">
        <f aca="false">E50-E56</f>
        <v>10000</v>
      </c>
      <c r="F57" s="46" t="n">
        <f aca="false">F50-F56</f>
        <v>10000</v>
      </c>
      <c r="G57" s="46" t="n">
        <f aca="false">G50-G56</f>
        <v>10000</v>
      </c>
      <c r="H57" s="46" t="n">
        <f aca="false">H50-H56</f>
        <v>10000</v>
      </c>
      <c r="I57" s="46" t="n">
        <f aca="false">I50-I56</f>
        <v>10000</v>
      </c>
      <c r="J57" s="46" t="n">
        <f aca="false">J50-J56</f>
        <v>10000</v>
      </c>
      <c r="K57" s="46" t="n">
        <f aca="false">K50-K56</f>
        <v>10000</v>
      </c>
      <c r="L57" s="46" t="n">
        <f aca="false">L50-L56</f>
        <v>-90000</v>
      </c>
      <c r="M57" s="46" t="n">
        <f aca="false">M50-M56</f>
        <v>-190000</v>
      </c>
      <c r="N57" s="46" t="n">
        <f aca="false">N50-N56</f>
        <v>60000</v>
      </c>
      <c r="O57" s="46" t="n">
        <f aca="false">O50-O56</f>
        <v>-140000</v>
      </c>
      <c r="P57" s="46" t="n">
        <f aca="false">P50-P56</f>
        <v>10000</v>
      </c>
      <c r="Q57" s="46" t="n">
        <f aca="false">SUM(E57:P57)</f>
        <v>-280000</v>
      </c>
    </row>
    <row r="58" customFormat="false" ht="19.5" hidden="false" customHeight="true" outlineLevel="0" collapsed="false">
      <c r="B58" s="44" t="s">
        <v>289</v>
      </c>
      <c r="C58" s="45"/>
      <c r="D58" s="46" t="n">
        <f aca="false">D42+D57</f>
        <v>258549.42</v>
      </c>
      <c r="E58" s="46" t="n">
        <f aca="false">E42+E57</f>
        <v>919587.950000001</v>
      </c>
      <c r="F58" s="46" t="n">
        <f aca="false">F42+F57</f>
        <v>1333359.72</v>
      </c>
      <c r="G58" s="46" t="n">
        <f aca="false">G42+G57</f>
        <v>1332665.99</v>
      </c>
      <c r="H58" s="46" t="n">
        <f aca="false">H42+H57</f>
        <v>1069498.19</v>
      </c>
      <c r="I58" s="46" t="n">
        <f aca="false">I42+I57</f>
        <v>1788702.43</v>
      </c>
      <c r="J58" s="46" t="n">
        <f aca="false">J42+J57</f>
        <v>2102353.99</v>
      </c>
      <c r="K58" s="46" t="n">
        <f aca="false">K42+K57</f>
        <v>1481027.98</v>
      </c>
      <c r="L58" s="46" t="n">
        <f aca="false">L42+L57</f>
        <v>-496855.66</v>
      </c>
      <c r="M58" s="46" t="n">
        <f aca="false">M42+M57</f>
        <v>447249.300000001</v>
      </c>
      <c r="N58" s="46" t="n">
        <f aca="false">N42+N57</f>
        <v>1448187.41</v>
      </c>
      <c r="O58" s="46" t="n">
        <f aca="false">O42+O57</f>
        <v>1103708.43</v>
      </c>
      <c r="P58" s="46" t="n">
        <f aca="false">P42+P57</f>
        <v>1170514.44</v>
      </c>
      <c r="Q58" s="46" t="n">
        <f aca="false">SUM(E58:P58)</f>
        <v>13700000.17</v>
      </c>
    </row>
    <row r="59" customFormat="false" ht="15" hidden="false" customHeight="false" outlineLevel="0" collapsed="false">
      <c r="B59" s="19" t="s">
        <v>290</v>
      </c>
      <c r="C59" s="35" t="s">
        <v>291</v>
      </c>
      <c r="D59" s="36" t="n">
        <f aca="false">SUMPRODUCT(((LEFT(Balance!$B$7:$B$400,3)="670"))*Balance!D$7:D$400)</f>
        <v>51709.88</v>
      </c>
      <c r="E59" s="37" t="n">
        <f aca="false">SUMPRODUCT(((LEFT(Balance!$B$7:$B$400,3)="670"))*Balance!E$7:E$400)</f>
        <v>183917.58</v>
      </c>
      <c r="F59" s="37" t="n">
        <f aca="false">SUMPRODUCT(((LEFT(Balance!$B$7:$B$400,3)="670"))*Balance!F$7:F$400)</f>
        <v>266671.94</v>
      </c>
      <c r="G59" s="37" t="n">
        <f aca="false">SUMPRODUCT(((LEFT(Balance!$B$7:$B$400,3)="670"))*Balance!G$7:G$400)</f>
        <v>266533.19</v>
      </c>
      <c r="H59" s="37" t="n">
        <f aca="false">SUMPRODUCT(((LEFT(Balance!$B$7:$B$400,3)="670"))*Balance!H$7:H$400)</f>
        <v>213899.64</v>
      </c>
      <c r="I59" s="37" t="n">
        <f aca="false">SUMPRODUCT(((LEFT(Balance!$B$7:$B$400,3)="670"))*Balance!I$7:I$400)</f>
        <v>357740.48</v>
      </c>
      <c r="J59" s="37" t="n">
        <f aca="false">SUMPRODUCT(((LEFT(Balance!$B$7:$B$400,3)="670"))*Balance!J$7:J$400)</f>
        <v>420470.8</v>
      </c>
      <c r="K59" s="37" t="n">
        <f aca="false">SUMPRODUCT(((LEFT(Balance!$B$7:$B$400,3)="670"))*Balance!K$7:K$400)</f>
        <v>296205.59</v>
      </c>
      <c r="L59" s="37" t="n">
        <f aca="false">SUMPRODUCT(((LEFT(Balance!$B$7:$B$400,3)="670"))*Balance!L$7:L$400)</f>
        <v>-99371.13</v>
      </c>
      <c r="M59" s="37" t="n">
        <f aca="false">SUMPRODUCT(((LEFT(Balance!$B$7:$B$400,3)="670"))*Balance!M$7:M$400)</f>
        <v>89449.86</v>
      </c>
      <c r="N59" s="37" t="n">
        <f aca="false">SUMPRODUCT(((LEFT(Balance!$B$7:$B$400,3)="670"))*Balance!N$7:N$400)</f>
        <v>289637.48</v>
      </c>
      <c r="O59" s="37" t="n">
        <f aca="false">SUMPRODUCT(((LEFT(Balance!$B$7:$B$400,3)="670"))*Balance!O$7:O$400)</f>
        <v>220741.68</v>
      </c>
      <c r="P59" s="37" t="n">
        <f aca="false">SUMPRODUCT(((LEFT(Balance!$B$7:$B$400,3)="670"))*Balance!P$7:P$400)</f>
        <v>234102.89</v>
      </c>
      <c r="Q59" s="38" t="n">
        <f aca="false">SUM(E59:P59)</f>
        <v>2740000</v>
      </c>
    </row>
    <row r="60" customFormat="false" ht="19.5" hidden="false" customHeight="true" outlineLevel="0" collapsed="false">
      <c r="B60" s="44" t="s">
        <v>292</v>
      </c>
      <c r="C60" s="45"/>
      <c r="D60" s="46" t="n">
        <f aca="false">D58-D59</f>
        <v>206839.54</v>
      </c>
      <c r="E60" s="46" t="n">
        <f aca="false">E58-E59</f>
        <v>735670.370000001</v>
      </c>
      <c r="F60" s="46" t="n">
        <f aca="false">F58-F59</f>
        <v>1066687.78</v>
      </c>
      <c r="G60" s="46" t="n">
        <f aca="false">G58-G59</f>
        <v>1066132.8</v>
      </c>
      <c r="H60" s="46" t="n">
        <f aca="false">H58-H59</f>
        <v>855598.549999998</v>
      </c>
      <c r="I60" s="46" t="n">
        <f aca="false">I58-I59</f>
        <v>1430961.95</v>
      </c>
      <c r="J60" s="46" t="n">
        <f aca="false">J58-J59</f>
        <v>1681883.19</v>
      </c>
      <c r="K60" s="46" t="n">
        <f aca="false">K58-K59</f>
        <v>1184822.39</v>
      </c>
      <c r="L60" s="46" t="n">
        <f aca="false">L58-L59</f>
        <v>-397484.53</v>
      </c>
      <c r="M60" s="46" t="n">
        <f aca="false">M58-M59</f>
        <v>357799.440000001</v>
      </c>
      <c r="N60" s="46" t="n">
        <f aca="false">N58-N59</f>
        <v>1158549.93</v>
      </c>
      <c r="O60" s="46" t="n">
        <f aca="false">O58-O59</f>
        <v>882966.75</v>
      </c>
      <c r="P60" s="46" t="n">
        <f aca="false">P58-P59</f>
        <v>936411.550000001</v>
      </c>
      <c r="Q60" s="46" t="n">
        <f aca="false">SUM(E60:P60)</f>
        <v>10960000.17</v>
      </c>
    </row>
    <row r="61" customFormat="false" ht="21.75" hidden="false" customHeight="true" outlineLevel="0" collapsed="false">
      <c r="B61" s="33" t="s">
        <v>293</v>
      </c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</row>
    <row r="62" customFormat="false" ht="15" hidden="false" customHeight="false" outlineLevel="0" collapsed="false">
      <c r="B62" s="41" t="s">
        <v>294</v>
      </c>
      <c r="C62" s="42"/>
      <c r="D62" s="43" t="n">
        <f aca="false">D17+D34+D50</f>
        <v>11792262.1</v>
      </c>
      <c r="E62" s="43" t="n">
        <f aca="false">E17+E34+E50</f>
        <v>11091249.3</v>
      </c>
      <c r="F62" s="43" t="n">
        <f aca="false">F17+F34+F50</f>
        <v>11571719.99</v>
      </c>
      <c r="G62" s="43" t="n">
        <f aca="false">G17+G34+G50</f>
        <v>12863055.97</v>
      </c>
      <c r="H62" s="43" t="n">
        <f aca="false">H17+H34+H50</f>
        <v>12222791.83</v>
      </c>
      <c r="I62" s="43" t="n">
        <f aca="false">I17+I34+I50</f>
        <v>13003271.27</v>
      </c>
      <c r="J62" s="43" t="n">
        <f aca="false">J17+J34+J50</f>
        <v>13363553.25</v>
      </c>
      <c r="K62" s="43" t="n">
        <f aca="false">K17+K34+K50</f>
        <v>12082500.15</v>
      </c>
      <c r="L62" s="43" t="n">
        <f aca="false">L17+L34+L50</f>
        <v>7727789.56</v>
      </c>
      <c r="M62" s="43" t="n">
        <f aca="false">M17+M34+M50</f>
        <v>12372806.72</v>
      </c>
      <c r="N62" s="43" t="n">
        <f aca="false">N17+N34+N50</f>
        <v>13393363.14</v>
      </c>
      <c r="O62" s="43" t="n">
        <f aca="false">O17+O34+O50</f>
        <v>12713042.8</v>
      </c>
      <c r="P62" s="43" t="n">
        <f aca="false">P17+P34+P50</f>
        <v>14164856.03</v>
      </c>
      <c r="Q62" s="43" t="n">
        <f aca="false">SUM(E62:P62)</f>
        <v>146570000.01</v>
      </c>
    </row>
    <row r="63" customFormat="false" ht="15" hidden="false" customHeight="false" outlineLevel="0" collapsed="false">
      <c r="B63" s="41" t="s">
        <v>295</v>
      </c>
      <c r="C63" s="42"/>
      <c r="D63" s="43" t="n">
        <f aca="false">D26+D40+D56+D59</f>
        <v>11585422.56</v>
      </c>
      <c r="E63" s="43" t="n">
        <f aca="false">E26+E40+E56+E59</f>
        <v>10355578.93</v>
      </c>
      <c r="F63" s="43" t="n">
        <f aca="false">F26+F40+F56+F59</f>
        <v>10505032.21</v>
      </c>
      <c r="G63" s="43" t="n">
        <f aca="false">G26+G40+G56+G59</f>
        <v>11796923.17</v>
      </c>
      <c r="H63" s="43" t="n">
        <f aca="false">H26+H40+H56+H59</f>
        <v>11367193.28</v>
      </c>
      <c r="I63" s="43" t="n">
        <f aca="false">I26+I40+I56+I59</f>
        <v>11572309.32</v>
      </c>
      <c r="J63" s="43" t="n">
        <f aca="false">J26+J40+J56+J59</f>
        <v>11681670.06</v>
      </c>
      <c r="K63" s="43" t="n">
        <f aca="false">K26+K40+K56+K59</f>
        <v>10897677.76</v>
      </c>
      <c r="L63" s="43" t="n">
        <f aca="false">L26+L40+L56+L59</f>
        <v>8125274.09</v>
      </c>
      <c r="M63" s="43" t="n">
        <f aca="false">M26+M40+M56+M59</f>
        <v>12015007.28</v>
      </c>
      <c r="N63" s="43" t="n">
        <f aca="false">N26+N40+N56+N59</f>
        <v>12234813.21</v>
      </c>
      <c r="O63" s="43" t="n">
        <f aca="false">O26+O40+O56+O59</f>
        <v>11830076.05</v>
      </c>
      <c r="P63" s="43" t="n">
        <f aca="false">P26+P40+P56+P59</f>
        <v>13228444.48</v>
      </c>
      <c r="Q63" s="43" t="n">
        <f aca="false">SUM(E63:P63)</f>
        <v>135609999.84</v>
      </c>
    </row>
    <row r="64" customFormat="false" ht="19.5" hidden="false" customHeight="true" outlineLevel="0" collapsed="false">
      <c r="B64" s="44" t="s">
        <v>296</v>
      </c>
      <c r="C64" s="45"/>
      <c r="D64" s="46" t="n">
        <f aca="false">D62-D63</f>
        <v>206839.539999999</v>
      </c>
      <c r="E64" s="46" t="n">
        <f aca="false">E62-E63</f>
        <v>735670.370000001</v>
      </c>
      <c r="F64" s="46" t="n">
        <f aca="false">F62-F63</f>
        <v>1066687.78</v>
      </c>
      <c r="G64" s="46" t="n">
        <f aca="false">G62-G63</f>
        <v>1066132.8</v>
      </c>
      <c r="H64" s="46" t="n">
        <f aca="false">H62-H63</f>
        <v>855598.549999997</v>
      </c>
      <c r="I64" s="46" t="n">
        <f aca="false">I62-I63</f>
        <v>1430961.95</v>
      </c>
      <c r="J64" s="46" t="n">
        <f aca="false">J62-J63</f>
        <v>1681883.19</v>
      </c>
      <c r="K64" s="46" t="n">
        <f aca="false">K62-K63</f>
        <v>1184822.39</v>
      </c>
      <c r="L64" s="46" t="n">
        <f aca="false">L62-L63</f>
        <v>-397484.53</v>
      </c>
      <c r="M64" s="46" t="n">
        <f aca="false">M62-M63</f>
        <v>357799.440000003</v>
      </c>
      <c r="N64" s="46" t="n">
        <f aca="false">N62-N63</f>
        <v>1158549.93</v>
      </c>
      <c r="O64" s="46" t="n">
        <f aca="false">O62-O63</f>
        <v>882966.75</v>
      </c>
      <c r="P64" s="46" t="n">
        <f aca="false">P62-P63</f>
        <v>936411.550000001</v>
      </c>
      <c r="Q64" s="46" t="n">
        <f aca="false">SUM(E64:P64)</f>
        <v>10960000.17</v>
      </c>
    </row>
    <row r="66" customFormat="false" ht="15" hidden="false" customHeight="false" outlineLevel="0" collapsed="false">
      <c r="B66" s="34" t="s">
        <v>297</v>
      </c>
      <c r="D66" s="23" t="n">
        <f aca="false">ROUND(D60+(SUMPRODUCT((LEFT(Balance!$B$7:$B$400,1)="6")*Balance!D$7:D$400)+SUMPRODUCT((LEFT(Balance!$B$7:$B$400,1)="7")*Balance!D$7:D$400)),2)</f>
        <v>-0</v>
      </c>
      <c r="E66" s="23" t="n">
        <f aca="false">ROUND(E60+(SUMPRODUCT((LEFT(Balance!$B$7:$B$400,1)="6")*Balance!E$7:E$400)+SUMPRODUCT((LEFT(Balance!$B$7:$B$400,1)="7")*Balance!E$7:E$400)),2)</f>
        <v>0</v>
      </c>
      <c r="F66" s="23" t="n">
        <f aca="false">ROUND(F60+(SUMPRODUCT((LEFT(Balance!$B$7:$B$400,1)="6")*Balance!F$7:F$400)+SUMPRODUCT((LEFT(Balance!$B$7:$B$400,1)="7")*Balance!F$7:F$400)),2)</f>
        <v>0</v>
      </c>
      <c r="G66" s="23" t="n">
        <f aca="false">ROUND(G60+(SUMPRODUCT((LEFT(Balance!$B$7:$B$400,1)="6")*Balance!G$7:G$400)+SUMPRODUCT((LEFT(Balance!$B$7:$B$400,1)="7")*Balance!G$7:G$400)),2)</f>
        <v>0</v>
      </c>
      <c r="H66" s="23" t="n">
        <f aca="false">ROUND(H60+(SUMPRODUCT((LEFT(Balance!$B$7:$B$400,1)="6")*Balance!H$7:H$400)+SUMPRODUCT((LEFT(Balance!$B$7:$B$400,1)="7")*Balance!H$7:H$400)),2)</f>
        <v>0</v>
      </c>
      <c r="I66" s="23" t="n">
        <f aca="false">ROUND(I60+(SUMPRODUCT((LEFT(Balance!$B$7:$B$400,1)="6")*Balance!I$7:I$400)+SUMPRODUCT((LEFT(Balance!$B$7:$B$400,1)="7")*Balance!I$7:I$400)),2)</f>
        <v>0</v>
      </c>
      <c r="J66" s="23" t="n">
        <f aca="false">ROUND(J60+(SUMPRODUCT((LEFT(Balance!$B$7:$B$400,1)="6")*Balance!J$7:J$400)+SUMPRODUCT((LEFT(Balance!$B$7:$B$400,1)="7")*Balance!J$7:J$400)),2)</f>
        <v>0</v>
      </c>
      <c r="K66" s="23" t="n">
        <f aca="false">ROUND(K60+(SUMPRODUCT((LEFT(Balance!$B$7:$B$400,1)="6")*Balance!K$7:K$400)+SUMPRODUCT((LEFT(Balance!$B$7:$B$400,1)="7")*Balance!K$7:K$400)),2)</f>
        <v>0</v>
      </c>
      <c r="L66" s="23" t="n">
        <f aca="false">ROUND(L60+(SUMPRODUCT((LEFT(Balance!$B$7:$B$400,1)="6")*Balance!L$7:L$400)+SUMPRODUCT((LEFT(Balance!$B$7:$B$400,1)="7")*Balance!L$7:L$400)),2)</f>
        <v>0</v>
      </c>
      <c r="M66" s="23" t="n">
        <f aca="false">ROUND(M60+(SUMPRODUCT((LEFT(Balance!$B$7:$B$400,1)="6")*Balance!M$7:M$400)+SUMPRODUCT((LEFT(Balance!$B$7:$B$400,1)="7")*Balance!M$7:M$400)),2)</f>
        <v>0</v>
      </c>
      <c r="N66" s="23" t="n">
        <f aca="false">ROUND(N60+(SUMPRODUCT((LEFT(Balance!$B$7:$B$400,1)="6")*Balance!N$7:N$400)+SUMPRODUCT((LEFT(Balance!$B$7:$B$400,1)="7")*Balance!N$7:N$400)),2)</f>
        <v>0</v>
      </c>
      <c r="O66" s="23" t="n">
        <f aca="false">ROUND(O60+(SUMPRODUCT((LEFT(Balance!$B$7:$B$400,1)="6")*Balance!O$7:O$400)+SUMPRODUCT((LEFT(Balance!$B$7:$B$400,1)="7")*Balance!O$7:O$400)),2)</f>
        <v>0</v>
      </c>
      <c r="P66" s="23" t="n">
        <f aca="false">ROUND(P60+(SUMPRODUCT((LEFT(Balance!$B$7:$B$400,1)="6")*Balance!P$7:P$400)+SUMPRODUCT((LEFT(Balance!$B$7:$B$400,1)="7")*Balance!P$7:P$400)),2)</f>
        <v>0</v>
      </c>
      <c r="Q66" s="23" t="n">
        <f aca="false">ROUND(SUM(E66:P66),2)</f>
        <v>0</v>
      </c>
    </row>
    <row r="67" customFormat="false" ht="15" hidden="false" customHeight="false" outlineLevel="0" collapsed="false">
      <c r="B67" s="4" t="s">
        <v>298</v>
      </c>
    </row>
  </sheetData>
  <mergeCells count="7">
    <mergeCell ref="B1:Q1"/>
    <mergeCell ref="B2:Q2"/>
    <mergeCell ref="B3:Q3"/>
    <mergeCell ref="B7:Q7"/>
    <mergeCell ref="B28:Q28"/>
    <mergeCell ref="B43:Q43"/>
    <mergeCell ref="B61:Q61"/>
  </mergeCells>
  <conditionalFormatting sqref="D66:Q66">
    <cfRule type="expression" priority="2" aboveAverage="0" equalAverage="0" bottom="0" percent="0" rank="0" text="" dxfId="0">
      <formula>ABS(D66)&lt;0.01</formula>
    </cfRule>
    <cfRule type="expression" priority="3" aboveAverage="0" equalAverage="0" bottom="0" percent="0" rank="0" text="" dxfId="1">
      <formula>ABS(D66)&gt;=0.01</formula>
    </cfRule>
  </conditionalFormatting>
  <hyperlinks>
    <hyperlink ref="B4" location="'Accueil'!A1" display="← Accueil"/>
  </hyperlinks>
  <printOptions headings="false" gridLines="false" gridLinesSet="true" horizontalCentered="true" verticalCentered="false"/>
  <pageMargins left="0.4" right="0.4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&amp;L&amp;"Calibri,Bold"AéroAtlas Composites SARL&amp;CExercice 2025 — Arrêté au 31/12/2025&amp;RResp. : Karim El Fassi (DAF)</oddHeader>
    <oddFooter>&amp;L&amp;A&amp;C&amp;"Calibri,Bold"Document confidentiel&amp;RPage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E3A"/>
    <pageSetUpPr fitToPage="true"/>
  </sheetPr>
  <dimension ref="B1:Q5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746093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16" min="4" style="0" width="19.51"/>
    <col collapsed="false" customWidth="true" hidden="false" outlineLevel="0" max="17" min="17" style="0" width="21"/>
  </cols>
  <sheetData>
    <row r="1" customFormat="false" ht="33.75" hidden="false" customHeight="true" outlineLevel="0" collapsed="false">
      <c r="B1" s="1" t="s">
        <v>299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2" t="str">
        <f aca="false">"Société : "&amp;Accueil!$C$8&amp;"     │     Exercice : "&amp;Accueil!$C$11&amp;"     │     Date d'arrêté : "&amp;Accueil!$C$12&amp;"     │     Responsable : "&amp;Accueil!$C$15</f>
        <v>Société : AéroAtlas Composites SARL     │     Exercice : 2025     │     Date d'arrêté : 31/12/2025     │     Responsable : Karim El Fassi (DAF)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3.75" hidden="false" customHeight="true" outlineLevel="0" collapsed="false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18" hidden="false" customHeight="true" outlineLevel="0" collapsed="false">
      <c r="B4" s="20" t="s">
        <v>60</v>
      </c>
      <c r="C4" s="4" t="s">
        <v>300</v>
      </c>
    </row>
    <row r="6" customFormat="false" ht="30" hidden="false" customHeight="true" outlineLevel="0" collapsed="false">
      <c r="B6" s="12" t="s">
        <v>301</v>
      </c>
      <c r="C6" s="12" t="s">
        <v>302</v>
      </c>
      <c r="D6" s="12" t="s">
        <v>65</v>
      </c>
      <c r="E6" s="12" t="s">
        <v>66</v>
      </c>
      <c r="F6" s="12" t="s">
        <v>67</v>
      </c>
      <c r="G6" s="12" t="s">
        <v>68</v>
      </c>
      <c r="H6" s="12" t="s">
        <v>69</v>
      </c>
      <c r="I6" s="12" t="s">
        <v>70</v>
      </c>
      <c r="J6" s="12" t="s">
        <v>71</v>
      </c>
      <c r="K6" s="12" t="s">
        <v>72</v>
      </c>
      <c r="L6" s="12" t="s">
        <v>73</v>
      </c>
      <c r="M6" s="12" t="s">
        <v>74</v>
      </c>
      <c r="N6" s="12" t="s">
        <v>75</v>
      </c>
      <c r="O6" s="12" t="s">
        <v>76</v>
      </c>
      <c r="P6" s="12" t="s">
        <v>77</v>
      </c>
      <c r="Q6" s="12" t="s">
        <v>209</v>
      </c>
    </row>
    <row r="7" customFormat="false" ht="21.75" hidden="false" customHeight="true" outlineLevel="0" collapsed="false">
      <c r="B7" s="33" t="s">
        <v>303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</row>
    <row r="8" customFormat="false" ht="15" hidden="false" customHeight="false" outlineLevel="0" collapsed="false">
      <c r="B8" s="19" t="s">
        <v>304</v>
      </c>
      <c r="C8" s="35" t="s">
        <v>305</v>
      </c>
      <c r="D8" s="36" t="n">
        <f aca="false">CPC!D9</f>
        <v>48759.93</v>
      </c>
      <c r="E8" s="37" t="n">
        <f aca="false">CPC!E9</f>
        <v>46033.13</v>
      </c>
      <c r="F8" s="37" t="n">
        <f aca="false">CPC!F9</f>
        <v>47260.36</v>
      </c>
      <c r="G8" s="37" t="n">
        <f aca="false">CPC!G9</f>
        <v>51367.28</v>
      </c>
      <c r="H8" s="37" t="n">
        <f aca="false">CPC!H9</f>
        <v>48774.59</v>
      </c>
      <c r="I8" s="37" t="n">
        <f aca="false">CPC!I9</f>
        <v>54751.3</v>
      </c>
      <c r="J8" s="37" t="n">
        <f aca="false">CPC!J9</f>
        <v>54310.72</v>
      </c>
      <c r="K8" s="37" t="n">
        <f aca="false">CPC!K9</f>
        <v>47737.13</v>
      </c>
      <c r="L8" s="37" t="n">
        <f aca="false">CPC!L9</f>
        <v>31081.64</v>
      </c>
      <c r="M8" s="37" t="n">
        <f aca="false">CPC!M9</f>
        <v>49725.94</v>
      </c>
      <c r="N8" s="37" t="n">
        <f aca="false">CPC!N9</f>
        <v>54951.81</v>
      </c>
      <c r="O8" s="37" t="n">
        <f aca="false">CPC!O9</f>
        <v>53474.87</v>
      </c>
      <c r="P8" s="37" t="n">
        <f aca="false">CPC!P9</f>
        <v>58145.28</v>
      </c>
      <c r="Q8" s="38" t="n">
        <f aca="false">SUM(E8:P8)</f>
        <v>597614.05</v>
      </c>
    </row>
    <row r="9" customFormat="false" ht="15" hidden="false" customHeight="false" outlineLevel="0" collapsed="false">
      <c r="B9" s="19" t="s">
        <v>306</v>
      </c>
      <c r="C9" s="35" t="s">
        <v>305</v>
      </c>
      <c r="D9" s="36" t="n">
        <f aca="false">CPC!D19</f>
        <v>33756.48</v>
      </c>
      <c r="E9" s="37" t="n">
        <f aca="false">CPC!E19</f>
        <v>32185.14</v>
      </c>
      <c r="F9" s="37" t="n">
        <f aca="false">CPC!F19</f>
        <v>33236.86</v>
      </c>
      <c r="G9" s="37" t="n">
        <f aca="false">CPC!G19</f>
        <v>37072.63</v>
      </c>
      <c r="H9" s="37" t="n">
        <f aca="false">CPC!H19</f>
        <v>35194.96</v>
      </c>
      <c r="I9" s="37" t="n">
        <f aca="false">CPC!I19</f>
        <v>37313.05</v>
      </c>
      <c r="J9" s="37" t="n">
        <f aca="false">CPC!J19</f>
        <v>37801.13</v>
      </c>
      <c r="K9" s="37" t="n">
        <f aca="false">CPC!K19</f>
        <v>34094.72</v>
      </c>
      <c r="L9" s="37" t="n">
        <f aca="false">CPC!L19</f>
        <v>21714.83</v>
      </c>
      <c r="M9" s="37" t="n">
        <f aca="false">CPC!M19</f>
        <v>35368.06</v>
      </c>
      <c r="N9" s="37" t="n">
        <f aca="false">CPC!N19</f>
        <v>37930.71</v>
      </c>
      <c r="O9" s="37" t="n">
        <f aca="false">CPC!O19</f>
        <v>36328.78</v>
      </c>
      <c r="P9" s="37" t="n">
        <f aca="false">CPC!P19</f>
        <v>41759.13</v>
      </c>
      <c r="Q9" s="38" t="n">
        <f aca="false">SUM(E9:P9)</f>
        <v>420000</v>
      </c>
    </row>
    <row r="10" customFormat="false" ht="19.5" hidden="false" customHeight="true" outlineLevel="0" collapsed="false">
      <c r="B10" s="44" t="s">
        <v>307</v>
      </c>
      <c r="C10" s="45"/>
      <c r="D10" s="46" t="n">
        <f aca="false">D8-D9</f>
        <v>15003.45</v>
      </c>
      <c r="E10" s="46" t="n">
        <f aca="false">E8-E9</f>
        <v>13847.99</v>
      </c>
      <c r="F10" s="46" t="n">
        <f aca="false">F8-F9</f>
        <v>14023.5</v>
      </c>
      <c r="G10" s="46" t="n">
        <f aca="false">G8-G9</f>
        <v>14294.65</v>
      </c>
      <c r="H10" s="46" t="n">
        <f aca="false">H8-H9</f>
        <v>13579.63</v>
      </c>
      <c r="I10" s="46" t="n">
        <f aca="false">I8-I9</f>
        <v>17438.25</v>
      </c>
      <c r="J10" s="46" t="n">
        <f aca="false">J8-J9</f>
        <v>16509.59</v>
      </c>
      <c r="K10" s="46" t="n">
        <f aca="false">K8-K9</f>
        <v>13642.41</v>
      </c>
      <c r="L10" s="46" t="n">
        <f aca="false">L8-L9</f>
        <v>9366.81</v>
      </c>
      <c r="M10" s="46" t="n">
        <f aca="false">M8-M9</f>
        <v>14357.88</v>
      </c>
      <c r="N10" s="46" t="n">
        <f aca="false">N8-N9</f>
        <v>17021.1</v>
      </c>
      <c r="O10" s="46" t="n">
        <f aca="false">O8-O9</f>
        <v>17146.09</v>
      </c>
      <c r="P10" s="46" t="n">
        <f aca="false">P8-P9</f>
        <v>16386.15</v>
      </c>
      <c r="Q10" s="46" t="n">
        <f aca="false">SUM(E10:P10)</f>
        <v>177614.05</v>
      </c>
    </row>
    <row r="11" customFormat="false" ht="15" hidden="false" customHeight="false" outlineLevel="0" collapsed="false">
      <c r="B11" s="19" t="s">
        <v>308</v>
      </c>
      <c r="C11" s="35" t="s">
        <v>305</v>
      </c>
      <c r="D11" s="36" t="n">
        <f aca="false">CPC!D10</f>
        <v>11451240.07</v>
      </c>
      <c r="E11" s="37" t="n">
        <f aca="false">CPC!E10</f>
        <v>10753966.87</v>
      </c>
      <c r="F11" s="37" t="n">
        <f aca="false">CPC!F10</f>
        <v>11152739.64</v>
      </c>
      <c r="G11" s="37" t="n">
        <f aca="false">CPC!G10</f>
        <v>12348632.72</v>
      </c>
      <c r="H11" s="37" t="n">
        <f aca="false">CPC!H10</f>
        <v>11851225.41</v>
      </c>
      <c r="I11" s="37" t="n">
        <f aca="false">CPC!I10</f>
        <v>12545248.7</v>
      </c>
      <c r="J11" s="37" t="n">
        <f aca="false">CPC!J10</f>
        <v>12745689.28</v>
      </c>
      <c r="K11" s="37" t="n">
        <f aca="false">CPC!K10</f>
        <v>11552262.87</v>
      </c>
      <c r="L11" s="37" t="n">
        <f aca="false">CPC!L10</f>
        <v>7368918.36</v>
      </c>
      <c r="M11" s="37" t="n">
        <f aca="false">CPC!M10</f>
        <v>12050274.06</v>
      </c>
      <c r="N11" s="37" t="n">
        <f aca="false">CPC!N10</f>
        <v>12745048.19</v>
      </c>
      <c r="O11" s="37" t="n">
        <f aca="false">CPC!O10</f>
        <v>12246525.13</v>
      </c>
      <c r="P11" s="37" t="n">
        <f aca="false">CPC!P10</f>
        <v>14041854.72</v>
      </c>
      <c r="Q11" s="38" t="n">
        <f aca="false">SUM(E11:P11)</f>
        <v>141402385.95</v>
      </c>
    </row>
    <row r="12" customFormat="false" ht="15" hidden="false" customHeight="false" outlineLevel="0" collapsed="false">
      <c r="B12" s="19" t="s">
        <v>309</v>
      </c>
      <c r="C12" s="35" t="s">
        <v>305</v>
      </c>
      <c r="D12" s="36" t="n">
        <f aca="false">CPC!D12</f>
        <v>100000</v>
      </c>
      <c r="E12" s="37" t="n">
        <f aca="false">CPC!E12</f>
        <v>100000</v>
      </c>
      <c r="F12" s="37" t="n">
        <f aca="false">CPC!F12</f>
        <v>200000</v>
      </c>
      <c r="G12" s="37" t="n">
        <f aca="false">CPC!G12</f>
        <v>200000</v>
      </c>
      <c r="H12" s="37" t="n">
        <f aca="false">CPC!H12</f>
        <v>100000</v>
      </c>
      <c r="I12" s="37" t="n">
        <f aca="false">CPC!I12</f>
        <v>200000</v>
      </c>
      <c r="J12" s="37" t="n">
        <f aca="false">CPC!J12</f>
        <v>100000</v>
      </c>
      <c r="K12" s="37" t="n">
        <f aca="false">CPC!K12</f>
        <v>300000</v>
      </c>
      <c r="L12" s="37" t="n">
        <f aca="false">CPC!L12</f>
        <v>200000</v>
      </c>
      <c r="M12" s="37" t="n">
        <f aca="false">CPC!M12</f>
        <v>-100000</v>
      </c>
      <c r="N12" s="37" t="n">
        <f aca="false">CPC!N12</f>
        <v>100000</v>
      </c>
      <c r="O12" s="37" t="n">
        <f aca="false">CPC!O12</f>
        <v>200000</v>
      </c>
      <c r="P12" s="37" t="n">
        <f aca="false">CPC!P12</f>
        <v>-400000</v>
      </c>
      <c r="Q12" s="38" t="n">
        <f aca="false">SUM(E12:P12)</f>
        <v>1200000</v>
      </c>
    </row>
    <row r="13" customFormat="false" ht="15" hidden="false" customHeight="false" outlineLevel="0" collapsed="false">
      <c r="B13" s="19" t="s">
        <v>310</v>
      </c>
      <c r="C13" s="35" t="s">
        <v>305</v>
      </c>
      <c r="D13" s="36" t="n">
        <f aca="false">CPC!D13</f>
        <v>-0</v>
      </c>
      <c r="E13" s="37" t="n">
        <f aca="false">CPC!E13</f>
        <v>-0</v>
      </c>
      <c r="F13" s="37" t="n">
        <f aca="false">CPC!F13</f>
        <v>-0</v>
      </c>
      <c r="G13" s="37" t="n">
        <f aca="false">CPC!G13</f>
        <v>-0</v>
      </c>
      <c r="H13" s="37" t="n">
        <f aca="false">CPC!H13</f>
        <v>-0</v>
      </c>
      <c r="I13" s="37" t="n">
        <f aca="false">CPC!I13</f>
        <v>-0</v>
      </c>
      <c r="J13" s="37" t="n">
        <f aca="false">CPC!J13</f>
        <v>-0</v>
      </c>
      <c r="K13" s="37" t="n">
        <f aca="false">CPC!K13</f>
        <v>-0</v>
      </c>
      <c r="L13" s="37" t="n">
        <f aca="false">CPC!L13</f>
        <v>-0</v>
      </c>
      <c r="M13" s="37" t="n">
        <f aca="false">CPC!M13</f>
        <v>-0</v>
      </c>
      <c r="N13" s="37" t="n">
        <f aca="false">CPC!N13</f>
        <v>-0</v>
      </c>
      <c r="O13" s="37" t="n">
        <f aca="false">CPC!O13</f>
        <v>-0</v>
      </c>
      <c r="P13" s="37" t="n">
        <f aca="false">CPC!P13</f>
        <v>-0</v>
      </c>
      <c r="Q13" s="38" t="n">
        <f aca="false">SUM(E13:P13)</f>
        <v>0</v>
      </c>
    </row>
    <row r="14" customFormat="false" ht="15" hidden="false" customHeight="false" outlineLevel="0" collapsed="false">
      <c r="B14" s="41" t="s">
        <v>311</v>
      </c>
      <c r="C14" s="42"/>
      <c r="D14" s="43" t="n">
        <f aca="false">D11+D12+D13</f>
        <v>11551240.07</v>
      </c>
      <c r="E14" s="43" t="n">
        <f aca="false">E11+E12+E13</f>
        <v>10853966.87</v>
      </c>
      <c r="F14" s="43" t="n">
        <f aca="false">F11+F12+F13</f>
        <v>11352739.64</v>
      </c>
      <c r="G14" s="43" t="n">
        <f aca="false">G11+G12+G13</f>
        <v>12548632.72</v>
      </c>
      <c r="H14" s="43" t="n">
        <f aca="false">H11+H12+H13</f>
        <v>11951225.41</v>
      </c>
      <c r="I14" s="43" t="n">
        <f aca="false">I11+I12+I13</f>
        <v>12745248.7</v>
      </c>
      <c r="J14" s="43" t="n">
        <f aca="false">J11+J12+J13</f>
        <v>12845689.28</v>
      </c>
      <c r="K14" s="43" t="n">
        <f aca="false">K11+K12+K13</f>
        <v>11852262.87</v>
      </c>
      <c r="L14" s="43" t="n">
        <f aca="false">L11+L12+L13</f>
        <v>7568918.36</v>
      </c>
      <c r="M14" s="43" t="n">
        <f aca="false">M11+M12+M13</f>
        <v>11950274.06</v>
      </c>
      <c r="N14" s="43" t="n">
        <f aca="false">N11+N12+N13</f>
        <v>12845048.19</v>
      </c>
      <c r="O14" s="43" t="n">
        <f aca="false">O11+O12+O13</f>
        <v>12446525.13</v>
      </c>
      <c r="P14" s="43" t="n">
        <f aca="false">P11+P12+P13</f>
        <v>13641854.72</v>
      </c>
      <c r="Q14" s="43" t="n">
        <f aca="false">SUM(E14:P14)</f>
        <v>142602385.95</v>
      </c>
    </row>
    <row r="15" customFormat="false" ht="15" hidden="false" customHeight="false" outlineLevel="0" collapsed="false">
      <c r="B15" s="19" t="s">
        <v>312</v>
      </c>
      <c r="C15" s="35" t="s">
        <v>305</v>
      </c>
      <c r="D15" s="36" t="n">
        <f aca="false">CPC!D20</f>
        <v>5025676.6</v>
      </c>
      <c r="E15" s="37" t="n">
        <f aca="false">CPC!E20</f>
        <v>4551601.7</v>
      </c>
      <c r="F15" s="37" t="n">
        <f aca="false">CPC!F20</f>
        <v>4610348.87</v>
      </c>
      <c r="G15" s="37" t="n">
        <f aca="false">CPC!G20</f>
        <v>5093311.96</v>
      </c>
      <c r="H15" s="37" t="n">
        <f aca="false">CPC!H20</f>
        <v>5438438.98</v>
      </c>
      <c r="I15" s="37" t="n">
        <f aca="false">CPC!I20</f>
        <v>5452504.46</v>
      </c>
      <c r="J15" s="37" t="n">
        <f aca="false">CPC!J20</f>
        <v>5473004.56</v>
      </c>
      <c r="K15" s="37" t="n">
        <f aca="false">CPC!K20</f>
        <v>4884054.74</v>
      </c>
      <c r="L15" s="37" t="n">
        <f aca="false">CPC!L20</f>
        <v>2863299.06</v>
      </c>
      <c r="M15" s="37" t="n">
        <f aca="false">CPC!M20</f>
        <v>5943694.66</v>
      </c>
      <c r="N15" s="37" t="n">
        <f aca="false">CPC!N20</f>
        <v>5861655.37</v>
      </c>
      <c r="O15" s="37" t="n">
        <f aca="false">CPC!O20</f>
        <v>5553696.47</v>
      </c>
      <c r="P15" s="37" t="n">
        <f aca="false">CPC!P20</f>
        <v>6274389.15</v>
      </c>
      <c r="Q15" s="38" t="n">
        <f aca="false">SUM(E15:P15)</f>
        <v>61999999.98</v>
      </c>
    </row>
    <row r="16" customFormat="false" ht="15" hidden="false" customHeight="false" outlineLevel="0" collapsed="false">
      <c r="B16" s="19" t="s">
        <v>313</v>
      </c>
      <c r="C16" s="35" t="s">
        <v>305</v>
      </c>
      <c r="D16" s="36" t="n">
        <f aca="false">CPC!D21</f>
        <v>1158379.07</v>
      </c>
      <c r="E16" s="37" t="n">
        <f aca="false">CPC!E21</f>
        <v>1146545.96</v>
      </c>
      <c r="F16" s="37" t="n">
        <f aca="false">CPC!F21</f>
        <v>1122853.74</v>
      </c>
      <c r="G16" s="37" t="n">
        <f aca="false">CPC!G21</f>
        <v>1209678.12</v>
      </c>
      <c r="H16" s="37" t="n">
        <f aca="false">CPC!H21</f>
        <v>1164908.85</v>
      </c>
      <c r="I16" s="37" t="n">
        <f aca="false">CPC!I21</f>
        <v>1197993.68</v>
      </c>
      <c r="J16" s="37" t="n">
        <f aca="false">CPC!J21</f>
        <v>1185017.38</v>
      </c>
      <c r="K16" s="37" t="n">
        <f aca="false">CPC!K21</f>
        <v>1169684.75</v>
      </c>
      <c r="L16" s="37" t="n">
        <f aca="false">CPC!L21</f>
        <v>1007496.44</v>
      </c>
      <c r="M16" s="37" t="n">
        <f aca="false">CPC!M21</f>
        <v>1176719.23</v>
      </c>
      <c r="N16" s="37" t="n">
        <f aca="false">CPC!N21</f>
        <v>1216459.34</v>
      </c>
      <c r="O16" s="37" t="n">
        <f aca="false">CPC!O21</f>
        <v>1171142.69</v>
      </c>
      <c r="P16" s="37" t="n">
        <f aca="false">CPC!P21</f>
        <v>1231499.75</v>
      </c>
      <c r="Q16" s="38" t="n">
        <f aca="false">SUM(E16:P16)</f>
        <v>13999999.93</v>
      </c>
    </row>
    <row r="17" customFormat="false" ht="15" hidden="false" customHeight="false" outlineLevel="0" collapsed="false">
      <c r="B17" s="41" t="s">
        <v>314</v>
      </c>
      <c r="C17" s="42"/>
      <c r="D17" s="43" t="n">
        <f aca="false">D15+D16</f>
        <v>6184055.67</v>
      </c>
      <c r="E17" s="43" t="n">
        <f aca="false">E15+E16</f>
        <v>5698147.66</v>
      </c>
      <c r="F17" s="43" t="n">
        <f aca="false">F15+F16</f>
        <v>5733202.61</v>
      </c>
      <c r="G17" s="43" t="n">
        <f aca="false">G15+G16</f>
        <v>6302990.08</v>
      </c>
      <c r="H17" s="43" t="n">
        <f aca="false">H15+H16</f>
        <v>6603347.83</v>
      </c>
      <c r="I17" s="43" t="n">
        <f aca="false">I15+I16</f>
        <v>6650498.14</v>
      </c>
      <c r="J17" s="43" t="n">
        <f aca="false">J15+J16</f>
        <v>6658021.94</v>
      </c>
      <c r="K17" s="43" t="n">
        <f aca="false">K15+K16</f>
        <v>6053739.49</v>
      </c>
      <c r="L17" s="43" t="n">
        <f aca="false">L15+L16</f>
        <v>3870795.5</v>
      </c>
      <c r="M17" s="43" t="n">
        <f aca="false">M15+M16</f>
        <v>7120413.89</v>
      </c>
      <c r="N17" s="43" t="n">
        <f aca="false">N15+N16</f>
        <v>7078114.71</v>
      </c>
      <c r="O17" s="43" t="n">
        <f aca="false">O15+O16</f>
        <v>6724839.16</v>
      </c>
      <c r="P17" s="43" t="n">
        <f aca="false">P15+P16</f>
        <v>7505888.9</v>
      </c>
      <c r="Q17" s="43" t="n">
        <f aca="false">SUM(E17:P17)</f>
        <v>75999999.91</v>
      </c>
    </row>
    <row r="18" customFormat="false" ht="19.5" hidden="false" customHeight="true" outlineLevel="0" collapsed="false">
      <c r="B18" s="44" t="s">
        <v>315</v>
      </c>
      <c r="C18" s="45"/>
      <c r="D18" s="46" t="n">
        <f aca="false">D10+D14-D17</f>
        <v>5382187.85</v>
      </c>
      <c r="E18" s="46" t="n">
        <f aca="false">E10+E14-E17</f>
        <v>5169667.2</v>
      </c>
      <c r="F18" s="46" t="n">
        <f aca="false">F10+F14-F17</f>
        <v>5633560.53</v>
      </c>
      <c r="G18" s="46" t="n">
        <f aca="false">G10+G14-G17</f>
        <v>6259937.29</v>
      </c>
      <c r="H18" s="46" t="n">
        <f aca="false">H10+H14-H17</f>
        <v>5361457.21</v>
      </c>
      <c r="I18" s="46" t="n">
        <f aca="false">I10+I14-I17</f>
        <v>6112188.81</v>
      </c>
      <c r="J18" s="46" t="n">
        <f aca="false">J10+J14-J17</f>
        <v>6204176.93</v>
      </c>
      <c r="K18" s="46" t="n">
        <f aca="false">K10+K14-K17</f>
        <v>5812165.79</v>
      </c>
      <c r="L18" s="46" t="n">
        <f aca="false">L10+L14-L17</f>
        <v>3707489.67</v>
      </c>
      <c r="M18" s="46" t="n">
        <f aca="false">M10+M14-M17</f>
        <v>4844218.05</v>
      </c>
      <c r="N18" s="46" t="n">
        <f aca="false">N10+N14-N17</f>
        <v>5783954.58</v>
      </c>
      <c r="O18" s="46" t="n">
        <f aca="false">O10+O14-O17</f>
        <v>5738832.06</v>
      </c>
      <c r="P18" s="46" t="n">
        <f aca="false">P10+P14-P17</f>
        <v>6152351.97</v>
      </c>
      <c r="Q18" s="46" t="n">
        <f aca="false">SUM(E18:P18)</f>
        <v>66780000.09</v>
      </c>
    </row>
    <row r="19" customFormat="false" ht="15" hidden="false" customHeight="false" outlineLevel="0" collapsed="false">
      <c r="B19" s="19" t="s">
        <v>316</v>
      </c>
      <c r="C19" s="35" t="s">
        <v>305</v>
      </c>
      <c r="D19" s="36" t="n">
        <f aca="false">CPC!D14</f>
        <v>-0</v>
      </c>
      <c r="E19" s="37" t="n">
        <f aca="false">CPC!E14</f>
        <v>-0</v>
      </c>
      <c r="F19" s="37" t="n">
        <f aca="false">CPC!F14</f>
        <v>-0</v>
      </c>
      <c r="G19" s="37" t="n">
        <f aca="false">CPC!G14</f>
        <v>-0</v>
      </c>
      <c r="H19" s="37" t="n">
        <f aca="false">CPC!H14</f>
        <v>-0</v>
      </c>
      <c r="I19" s="37" t="n">
        <f aca="false">CPC!I14</f>
        <v>-0</v>
      </c>
      <c r="J19" s="37" t="n">
        <f aca="false">CPC!J14</f>
        <v>250000</v>
      </c>
      <c r="K19" s="37" t="n">
        <f aca="false">CPC!K14</f>
        <v>-0</v>
      </c>
      <c r="L19" s="37" t="n">
        <f aca="false">CPC!L14</f>
        <v>-0</v>
      </c>
      <c r="M19" s="37" t="n">
        <f aca="false">CPC!M14</f>
        <v>-0</v>
      </c>
      <c r="N19" s="37" t="n">
        <f aca="false">CPC!N14</f>
        <v>-0</v>
      </c>
      <c r="O19" s="37" t="n">
        <f aca="false">CPC!O14</f>
        <v>-0</v>
      </c>
      <c r="P19" s="37" t="n">
        <f aca="false">CPC!P14</f>
        <v>250000</v>
      </c>
      <c r="Q19" s="38" t="n">
        <f aca="false">SUM(E19:P19)</f>
        <v>500000</v>
      </c>
    </row>
    <row r="20" customFormat="false" ht="15" hidden="false" customHeight="false" outlineLevel="0" collapsed="false">
      <c r="B20" s="19" t="s">
        <v>317</v>
      </c>
      <c r="C20" s="35" t="s">
        <v>305</v>
      </c>
      <c r="D20" s="36" t="n">
        <f aca="false">CPC!D22</f>
        <v>127825.77</v>
      </c>
      <c r="E20" s="37" t="n">
        <f aca="false">CPC!E22</f>
        <v>124008.07</v>
      </c>
      <c r="F20" s="37" t="n">
        <f aca="false">CPC!F22</f>
        <v>122433.54</v>
      </c>
      <c r="G20" s="37" t="n">
        <f aca="false">CPC!G22</f>
        <v>121085.58</v>
      </c>
      <c r="H20" s="37" t="n">
        <f aca="false">CPC!H22</f>
        <v>126320.6</v>
      </c>
      <c r="I20" s="37" t="n">
        <f aca="false">CPC!I22</f>
        <v>130520.87</v>
      </c>
      <c r="J20" s="37" t="n">
        <f aca="false">CPC!J22</f>
        <v>121765.77</v>
      </c>
      <c r="K20" s="37" t="n">
        <f aca="false">CPC!K22</f>
        <v>126809.99</v>
      </c>
      <c r="L20" s="37" t="n">
        <f aca="false">CPC!L22</f>
        <v>127155.06</v>
      </c>
      <c r="M20" s="37" t="n">
        <f aca="false">CPC!M22</f>
        <v>124501.09</v>
      </c>
      <c r="N20" s="37" t="n">
        <f aca="false">CPC!N22</f>
        <v>122400.79</v>
      </c>
      <c r="O20" s="37" t="n">
        <f aca="false">CPC!O22</f>
        <v>128341.72</v>
      </c>
      <c r="P20" s="37" t="n">
        <f aca="false">CPC!P22</f>
        <v>124656.9</v>
      </c>
      <c r="Q20" s="38" t="n">
        <f aca="false">SUM(E20:P20)</f>
        <v>1499999.98</v>
      </c>
    </row>
    <row r="21" customFormat="false" ht="15" hidden="false" customHeight="false" outlineLevel="0" collapsed="false">
      <c r="B21" s="19" t="s">
        <v>318</v>
      </c>
      <c r="C21" s="35" t="s">
        <v>305</v>
      </c>
      <c r="D21" s="36" t="n">
        <f aca="false">CPC!D23</f>
        <v>3979693.92</v>
      </c>
      <c r="E21" s="37" t="n">
        <f aca="false">CPC!E23</f>
        <v>3242539.58</v>
      </c>
      <c r="F21" s="37" t="n">
        <f aca="false">CPC!F23</f>
        <v>3247018.72</v>
      </c>
      <c r="G21" s="37" t="n">
        <f aca="false">CPC!G23</f>
        <v>3298229.97</v>
      </c>
      <c r="H21" s="37" t="n">
        <f aca="false">CPC!H23</f>
        <v>3270907.53</v>
      </c>
      <c r="I21" s="37" t="n">
        <f aca="false">CPC!I23</f>
        <v>3300900.67</v>
      </c>
      <c r="J21" s="37" t="n">
        <f aca="false">CPC!J23</f>
        <v>3270750.3</v>
      </c>
      <c r="K21" s="37" t="n">
        <f aca="false">CPC!K23</f>
        <v>3275585.07</v>
      </c>
      <c r="L21" s="37" t="n">
        <f aca="false">CPC!L23</f>
        <v>3053295.78</v>
      </c>
      <c r="M21" s="37" t="n">
        <f aca="false">CPC!M23</f>
        <v>3311267.27</v>
      </c>
      <c r="N21" s="37" t="n">
        <f aca="false">CPC!N23</f>
        <v>3302635.23</v>
      </c>
      <c r="O21" s="37" t="n">
        <f aca="false">CPC!O23</f>
        <v>3271792.66</v>
      </c>
      <c r="P21" s="37" t="n">
        <f aca="false">CPC!P23</f>
        <v>4155077.22</v>
      </c>
      <c r="Q21" s="38" t="n">
        <f aca="false">SUM(E21:P21)</f>
        <v>40000000</v>
      </c>
    </row>
    <row r="22" customFormat="false" ht="19.5" hidden="false" customHeight="true" outlineLevel="0" collapsed="false">
      <c r="B22" s="44" t="s">
        <v>319</v>
      </c>
      <c r="C22" s="45"/>
      <c r="D22" s="46" t="n">
        <f aca="false">D18+D19-D20-D21</f>
        <v>1274668.16</v>
      </c>
      <c r="E22" s="46" t="n">
        <f aca="false">E18+E19-E20-E21</f>
        <v>1803119.55</v>
      </c>
      <c r="F22" s="46" t="n">
        <f aca="false">F18+F19-F20-F21</f>
        <v>2264108.27</v>
      </c>
      <c r="G22" s="46" t="n">
        <f aca="false">G18+G19-G20-G21</f>
        <v>2840621.74</v>
      </c>
      <c r="H22" s="46" t="n">
        <f aca="false">H18+H19-H20-H21</f>
        <v>1964229.08</v>
      </c>
      <c r="I22" s="46" t="n">
        <f aca="false">I18+I19-I20-I21</f>
        <v>2680767.27</v>
      </c>
      <c r="J22" s="46" t="n">
        <f aca="false">J18+J19-J20-J21</f>
        <v>3061660.86</v>
      </c>
      <c r="K22" s="46" t="n">
        <f aca="false">K18+K19-K20-K21</f>
        <v>2409770.73</v>
      </c>
      <c r="L22" s="46" t="n">
        <f aca="false">L18+L19-L20-L21</f>
        <v>527038.83</v>
      </c>
      <c r="M22" s="46" t="n">
        <f aca="false">M18+M19-M20-M21</f>
        <v>1408449.69</v>
      </c>
      <c r="N22" s="46" t="n">
        <f aca="false">N18+N19-N20-N21</f>
        <v>2358918.56</v>
      </c>
      <c r="O22" s="46" t="n">
        <f aca="false">O18+O19-O20-O21</f>
        <v>2338697.68</v>
      </c>
      <c r="P22" s="46" t="n">
        <f aca="false">P18+P19-P20-P21</f>
        <v>2122617.85</v>
      </c>
      <c r="Q22" s="46" t="n">
        <f aca="false">SUM(E22:P22)</f>
        <v>25780000.11</v>
      </c>
    </row>
    <row r="23" customFormat="false" ht="15" hidden="false" customHeight="false" outlineLevel="0" collapsed="false">
      <c r="B23" s="19" t="s">
        <v>320</v>
      </c>
      <c r="C23" s="35" t="s">
        <v>305</v>
      </c>
      <c r="D23" s="36" t="n">
        <f aca="false">CPC!D15</f>
        <v>41666.67</v>
      </c>
      <c r="E23" s="37" t="n">
        <f aca="false">CPC!E15</f>
        <v>41666.67</v>
      </c>
      <c r="F23" s="37" t="n">
        <f aca="false">CPC!F15</f>
        <v>41666.67</v>
      </c>
      <c r="G23" s="37" t="n">
        <f aca="false">CPC!G15</f>
        <v>41666.67</v>
      </c>
      <c r="H23" s="37" t="n">
        <f aca="false">CPC!H15</f>
        <v>41666.67</v>
      </c>
      <c r="I23" s="37" t="n">
        <f aca="false">CPC!I15</f>
        <v>41666.67</v>
      </c>
      <c r="J23" s="37" t="n">
        <f aca="false">CPC!J15</f>
        <v>41666.67</v>
      </c>
      <c r="K23" s="37" t="n">
        <f aca="false">CPC!K15</f>
        <v>41666.67</v>
      </c>
      <c r="L23" s="37" t="n">
        <f aca="false">CPC!L15</f>
        <v>41666.67</v>
      </c>
      <c r="M23" s="37" t="n">
        <f aca="false">CPC!M15</f>
        <v>41666.67</v>
      </c>
      <c r="N23" s="37" t="n">
        <f aca="false">CPC!N15</f>
        <v>41666.67</v>
      </c>
      <c r="O23" s="37" t="n">
        <f aca="false">CPC!O15</f>
        <v>41666.67</v>
      </c>
      <c r="P23" s="37" t="n">
        <f aca="false">CPC!P15</f>
        <v>41666.67</v>
      </c>
      <c r="Q23" s="38" t="n">
        <f aca="false">SUM(E23:P23)</f>
        <v>500000.04</v>
      </c>
    </row>
    <row r="24" customFormat="false" ht="15" hidden="false" customHeight="false" outlineLevel="0" collapsed="false">
      <c r="B24" s="19" t="s">
        <v>321</v>
      </c>
      <c r="C24" s="35" t="s">
        <v>305</v>
      </c>
      <c r="D24" s="36" t="n">
        <f aca="false">CPC!D24</f>
        <v>0</v>
      </c>
      <c r="E24" s="37" t="n">
        <f aca="false">CPC!E24</f>
        <v>0</v>
      </c>
      <c r="F24" s="37" t="n">
        <f aca="false">CPC!F24</f>
        <v>0</v>
      </c>
      <c r="G24" s="37" t="n">
        <f aca="false">CPC!G24</f>
        <v>0</v>
      </c>
      <c r="H24" s="37" t="n">
        <f aca="false">CPC!H24</f>
        <v>0</v>
      </c>
      <c r="I24" s="37" t="n">
        <f aca="false">CPC!I24</f>
        <v>0</v>
      </c>
      <c r="J24" s="37" t="n">
        <f aca="false">CPC!J24</f>
        <v>0</v>
      </c>
      <c r="K24" s="37" t="n">
        <f aca="false">CPC!K24</f>
        <v>0</v>
      </c>
      <c r="L24" s="37" t="n">
        <f aca="false">CPC!L24</f>
        <v>0</v>
      </c>
      <c r="M24" s="37" t="n">
        <f aca="false">CPC!M24</f>
        <v>0</v>
      </c>
      <c r="N24" s="37" t="n">
        <f aca="false">CPC!N24</f>
        <v>0</v>
      </c>
      <c r="O24" s="37" t="n">
        <f aca="false">CPC!O24</f>
        <v>100000</v>
      </c>
      <c r="P24" s="37" t="n">
        <f aca="false">CPC!P24</f>
        <v>0</v>
      </c>
      <c r="Q24" s="38" t="n">
        <f aca="false">SUM(E24:P24)</f>
        <v>100000</v>
      </c>
    </row>
    <row r="25" customFormat="false" ht="15" hidden="false" customHeight="false" outlineLevel="0" collapsed="false">
      <c r="B25" s="19" t="s">
        <v>322</v>
      </c>
      <c r="C25" s="35" t="s">
        <v>305</v>
      </c>
      <c r="D25" s="36" t="n">
        <f aca="false">CPC!D16</f>
        <v>-0</v>
      </c>
      <c r="E25" s="37" t="n">
        <f aca="false">CPC!E16</f>
        <v>-0</v>
      </c>
      <c r="F25" s="37" t="n">
        <f aca="false">CPC!F16</f>
        <v>-0</v>
      </c>
      <c r="G25" s="37" t="n">
        <f aca="false">CPC!G16</f>
        <v>150000</v>
      </c>
      <c r="H25" s="37" t="n">
        <f aca="false">CPC!H16</f>
        <v>-0</v>
      </c>
      <c r="I25" s="37" t="n">
        <f aca="false">CPC!I16</f>
        <v>-0</v>
      </c>
      <c r="J25" s="37" t="n">
        <f aca="false">CPC!J16</f>
        <v>-0</v>
      </c>
      <c r="K25" s="37" t="n">
        <f aca="false">CPC!K16</f>
        <v>-0</v>
      </c>
      <c r="L25" s="37" t="n">
        <f aca="false">CPC!L16</f>
        <v>-0</v>
      </c>
      <c r="M25" s="37" t="n">
        <f aca="false">CPC!M16</f>
        <v>150000</v>
      </c>
      <c r="N25" s="37" t="n">
        <f aca="false">CPC!N16</f>
        <v>-0</v>
      </c>
      <c r="O25" s="37" t="n">
        <f aca="false">CPC!O16</f>
        <v>-0</v>
      </c>
      <c r="P25" s="37" t="n">
        <f aca="false">CPC!P16</f>
        <v>-0</v>
      </c>
      <c r="Q25" s="38" t="n">
        <f aca="false">SUM(E25:P25)</f>
        <v>300000</v>
      </c>
    </row>
    <row r="26" customFormat="false" ht="15" hidden="false" customHeight="false" outlineLevel="0" collapsed="false">
      <c r="B26" s="19" t="s">
        <v>323</v>
      </c>
      <c r="C26" s="35" t="s">
        <v>305</v>
      </c>
      <c r="D26" s="36" t="n">
        <f aca="false">CPC!D25</f>
        <v>813333.33</v>
      </c>
      <c r="E26" s="37" t="n">
        <f aca="false">CPC!E25</f>
        <v>733333.33</v>
      </c>
      <c r="F26" s="37" t="n">
        <f aca="false">CPC!F25</f>
        <v>733333.33</v>
      </c>
      <c r="G26" s="37" t="n">
        <f aca="false">CPC!G25</f>
        <v>733333.33</v>
      </c>
      <c r="H26" s="37" t="n">
        <f aca="false">CPC!H25</f>
        <v>733333.33</v>
      </c>
      <c r="I26" s="37" t="n">
        <f aca="false">CPC!I25</f>
        <v>733333.33</v>
      </c>
      <c r="J26" s="37" t="n">
        <f aca="false">CPC!J25</f>
        <v>833333.33</v>
      </c>
      <c r="K26" s="37" t="n">
        <f aca="false">CPC!K25</f>
        <v>733333.33</v>
      </c>
      <c r="L26" s="37" t="n">
        <f aca="false">CPC!L25</f>
        <v>733333.33</v>
      </c>
      <c r="M26" s="37" t="n">
        <f aca="false">CPC!M25</f>
        <v>733333.33</v>
      </c>
      <c r="N26" s="37" t="n">
        <f aca="false">CPC!N25</f>
        <v>733333.33</v>
      </c>
      <c r="O26" s="37" t="n">
        <f aca="false">CPC!O25</f>
        <v>733333.33</v>
      </c>
      <c r="P26" s="37" t="n">
        <f aca="false">CPC!P25</f>
        <v>833333.33</v>
      </c>
      <c r="Q26" s="38" t="n">
        <f aca="false">SUM(E26:P26)</f>
        <v>8999999.96</v>
      </c>
    </row>
    <row r="27" customFormat="false" ht="19.5" hidden="false" customHeight="true" outlineLevel="0" collapsed="false">
      <c r="B27" s="44" t="s">
        <v>324</v>
      </c>
      <c r="C27" s="45"/>
      <c r="D27" s="46" t="n">
        <f aca="false">D22+D23-D24+D25-D26</f>
        <v>503001.5</v>
      </c>
      <c r="E27" s="46" t="n">
        <f aca="false">E22+E23-E24+E25-E26</f>
        <v>1111452.89</v>
      </c>
      <c r="F27" s="46" t="n">
        <f aca="false">F22+F23-F24+F25-F26</f>
        <v>1572441.61</v>
      </c>
      <c r="G27" s="46" t="n">
        <f aca="false">G22+G23-G24+G25-G26</f>
        <v>2298955.08</v>
      </c>
      <c r="H27" s="46" t="n">
        <f aca="false">H22+H23-H24+H25-H26</f>
        <v>1272562.42</v>
      </c>
      <c r="I27" s="46" t="n">
        <f aca="false">I22+I23-I24+I25-I26</f>
        <v>1989100.61</v>
      </c>
      <c r="J27" s="46" t="n">
        <f aca="false">J22+J23-J24+J25-J26</f>
        <v>2269994.2</v>
      </c>
      <c r="K27" s="46" t="n">
        <f aca="false">K22+K23-K24+K25-K26</f>
        <v>1718104.07</v>
      </c>
      <c r="L27" s="46" t="n">
        <f aca="false">L22+L23-L24+L25-L26</f>
        <v>-164627.83</v>
      </c>
      <c r="M27" s="46" t="n">
        <f aca="false">M22+M23-M24+M25-M26</f>
        <v>866783.030000003</v>
      </c>
      <c r="N27" s="46" t="n">
        <f aca="false">N22+N23-N24+N25-N26</f>
        <v>1667251.9</v>
      </c>
      <c r="O27" s="46" t="n">
        <f aca="false">O22+O23-O24+O25-O26</f>
        <v>1547031.02</v>
      </c>
      <c r="P27" s="46" t="n">
        <f aca="false">P22+P23-P24+P25-P26</f>
        <v>1330951.19</v>
      </c>
      <c r="Q27" s="46" t="n">
        <f aca="false">SUM(E27:P27)</f>
        <v>17480000.19</v>
      </c>
    </row>
    <row r="28" customFormat="false" ht="15" hidden="false" customHeight="false" outlineLevel="0" collapsed="false">
      <c r="B28" s="19" t="s">
        <v>325</v>
      </c>
      <c r="C28" s="35" t="s">
        <v>305</v>
      </c>
      <c r="D28" s="36" t="n">
        <f aca="false">CPC!D41</f>
        <v>-254452.08</v>
      </c>
      <c r="E28" s="37" t="n">
        <f aca="false">CPC!E41</f>
        <v>-201864.94</v>
      </c>
      <c r="F28" s="37" t="n">
        <f aca="false">CPC!F41</f>
        <v>-249081.89</v>
      </c>
      <c r="G28" s="37" t="n">
        <f aca="false">CPC!G41</f>
        <v>-976289.09</v>
      </c>
      <c r="H28" s="37" t="n">
        <f aca="false">CPC!H41</f>
        <v>-213064.23</v>
      </c>
      <c r="I28" s="37" t="n">
        <f aca="false">CPC!I41</f>
        <v>-210398.18</v>
      </c>
      <c r="J28" s="37" t="n">
        <f aca="false">CPC!J41</f>
        <v>-177640.21</v>
      </c>
      <c r="K28" s="37" t="n">
        <f aca="false">CPC!K41</f>
        <v>-247076.09</v>
      </c>
      <c r="L28" s="37" t="n">
        <f aca="false">CPC!L41</f>
        <v>-242227.83</v>
      </c>
      <c r="M28" s="37" t="n">
        <f aca="false">CPC!M41</f>
        <v>-229533.73</v>
      </c>
      <c r="N28" s="37" t="n">
        <f aca="false">CPC!N41</f>
        <v>-279064.49</v>
      </c>
      <c r="O28" s="37" t="n">
        <f aca="false">CPC!O41</f>
        <v>-303322.59</v>
      </c>
      <c r="P28" s="37" t="n">
        <f aca="false">CPC!P41</f>
        <v>-170436.75</v>
      </c>
      <c r="Q28" s="38" t="n">
        <f aca="false">SUM(E28:P28)</f>
        <v>-3500000.02</v>
      </c>
    </row>
    <row r="29" customFormat="false" ht="19.5" hidden="false" customHeight="true" outlineLevel="0" collapsed="false">
      <c r="B29" s="44" t="s">
        <v>326</v>
      </c>
      <c r="C29" s="45"/>
      <c r="D29" s="46" t="n">
        <f aca="false">D27+D28</f>
        <v>248549.42</v>
      </c>
      <c r="E29" s="46" t="n">
        <f aca="false">E27+E28</f>
        <v>909587.95</v>
      </c>
      <c r="F29" s="46" t="n">
        <f aca="false">F27+F28</f>
        <v>1323359.72</v>
      </c>
      <c r="G29" s="46" t="n">
        <f aca="false">G27+G28</f>
        <v>1322665.99</v>
      </c>
      <c r="H29" s="46" t="n">
        <f aca="false">H27+H28</f>
        <v>1059498.19</v>
      </c>
      <c r="I29" s="46" t="n">
        <f aca="false">I27+I28</f>
        <v>1778702.43</v>
      </c>
      <c r="J29" s="46" t="n">
        <f aca="false">J27+J28</f>
        <v>2092353.99</v>
      </c>
      <c r="K29" s="46" t="n">
        <f aca="false">K27+K28</f>
        <v>1471027.98</v>
      </c>
      <c r="L29" s="46" t="n">
        <f aca="false">L27+L28</f>
        <v>-406855.66</v>
      </c>
      <c r="M29" s="46" t="n">
        <f aca="false">M27+M28</f>
        <v>637249.300000003</v>
      </c>
      <c r="N29" s="46" t="n">
        <f aca="false">N27+N28</f>
        <v>1388187.41</v>
      </c>
      <c r="O29" s="46" t="n">
        <f aca="false">O27+O28</f>
        <v>1243708.43</v>
      </c>
      <c r="P29" s="46" t="n">
        <f aca="false">P27+P28</f>
        <v>1160514.44</v>
      </c>
      <c r="Q29" s="46" t="n">
        <f aca="false">SUM(E29:P29)</f>
        <v>13980000.17</v>
      </c>
    </row>
    <row r="30" customFormat="false" ht="15" hidden="false" customHeight="false" outlineLevel="0" collapsed="false">
      <c r="B30" s="19" t="s">
        <v>327</v>
      </c>
      <c r="C30" s="35" t="s">
        <v>305</v>
      </c>
      <c r="D30" s="36" t="n">
        <f aca="false">CPC!D57</f>
        <v>10000</v>
      </c>
      <c r="E30" s="37" t="n">
        <f aca="false">CPC!E57</f>
        <v>10000</v>
      </c>
      <c r="F30" s="37" t="n">
        <f aca="false">CPC!F57</f>
        <v>10000</v>
      </c>
      <c r="G30" s="37" t="n">
        <f aca="false">CPC!G57</f>
        <v>10000</v>
      </c>
      <c r="H30" s="37" t="n">
        <f aca="false">CPC!H57</f>
        <v>10000</v>
      </c>
      <c r="I30" s="37" t="n">
        <f aca="false">CPC!I57</f>
        <v>10000</v>
      </c>
      <c r="J30" s="37" t="n">
        <f aca="false">CPC!J57</f>
        <v>10000</v>
      </c>
      <c r="K30" s="37" t="n">
        <f aca="false">CPC!K57</f>
        <v>10000</v>
      </c>
      <c r="L30" s="37" t="n">
        <f aca="false">CPC!L57</f>
        <v>-90000</v>
      </c>
      <c r="M30" s="37" t="n">
        <f aca="false">CPC!M57</f>
        <v>-190000</v>
      </c>
      <c r="N30" s="37" t="n">
        <f aca="false">CPC!N57</f>
        <v>60000</v>
      </c>
      <c r="O30" s="37" t="n">
        <f aca="false">CPC!O57</f>
        <v>-140000</v>
      </c>
      <c r="P30" s="37" t="n">
        <f aca="false">CPC!P57</f>
        <v>10000</v>
      </c>
      <c r="Q30" s="38" t="n">
        <f aca="false">SUM(E30:P30)</f>
        <v>-280000</v>
      </c>
    </row>
    <row r="31" customFormat="false" ht="15" hidden="false" customHeight="false" outlineLevel="0" collapsed="false">
      <c r="B31" s="19" t="s">
        <v>328</v>
      </c>
      <c r="C31" s="35" t="s">
        <v>305</v>
      </c>
      <c r="D31" s="36" t="n">
        <f aca="false">CPC!D59</f>
        <v>51709.88</v>
      </c>
      <c r="E31" s="37" t="n">
        <f aca="false">CPC!E59</f>
        <v>183917.58</v>
      </c>
      <c r="F31" s="37" t="n">
        <f aca="false">CPC!F59</f>
        <v>266671.94</v>
      </c>
      <c r="G31" s="37" t="n">
        <f aca="false">CPC!G59</f>
        <v>266533.19</v>
      </c>
      <c r="H31" s="37" t="n">
        <f aca="false">CPC!H59</f>
        <v>213899.64</v>
      </c>
      <c r="I31" s="37" t="n">
        <f aca="false">CPC!I59</f>
        <v>357740.48</v>
      </c>
      <c r="J31" s="37" t="n">
        <f aca="false">CPC!J59</f>
        <v>420470.8</v>
      </c>
      <c r="K31" s="37" t="n">
        <f aca="false">CPC!K59</f>
        <v>296205.59</v>
      </c>
      <c r="L31" s="37" t="n">
        <f aca="false">CPC!L59</f>
        <v>-99371.13</v>
      </c>
      <c r="M31" s="37" t="n">
        <f aca="false">CPC!M59</f>
        <v>89449.86</v>
      </c>
      <c r="N31" s="37" t="n">
        <f aca="false">CPC!N59</f>
        <v>289637.48</v>
      </c>
      <c r="O31" s="37" t="n">
        <f aca="false">CPC!O59</f>
        <v>220741.68</v>
      </c>
      <c r="P31" s="37" t="n">
        <f aca="false">CPC!P59</f>
        <v>234102.89</v>
      </c>
      <c r="Q31" s="38" t="n">
        <f aca="false">SUM(E31:P31)</f>
        <v>2740000</v>
      </c>
    </row>
    <row r="32" customFormat="false" ht="19.5" hidden="false" customHeight="true" outlineLevel="0" collapsed="false">
      <c r="B32" s="44" t="s">
        <v>329</v>
      </c>
      <c r="C32" s="45"/>
      <c r="D32" s="46" t="n">
        <f aca="false">D29+D30-D31</f>
        <v>206839.54</v>
      </c>
      <c r="E32" s="46" t="n">
        <f aca="false">E29+E30-E31</f>
        <v>735670.37</v>
      </c>
      <c r="F32" s="46" t="n">
        <f aca="false">F29+F30-F31</f>
        <v>1066687.78</v>
      </c>
      <c r="G32" s="46" t="n">
        <f aca="false">G29+G30-G31</f>
        <v>1066132.8</v>
      </c>
      <c r="H32" s="46" t="n">
        <f aca="false">H29+H30-H31</f>
        <v>855598.550000001</v>
      </c>
      <c r="I32" s="46" t="n">
        <f aca="false">I29+I30-I31</f>
        <v>1430961.95</v>
      </c>
      <c r="J32" s="46" t="n">
        <f aca="false">J29+J30-J31</f>
        <v>1681883.19</v>
      </c>
      <c r="K32" s="46" t="n">
        <f aca="false">K29+K30-K31</f>
        <v>1184822.39</v>
      </c>
      <c r="L32" s="46" t="n">
        <f aca="false">L29+L30-L31</f>
        <v>-397484.53</v>
      </c>
      <c r="M32" s="46" t="n">
        <f aca="false">M29+M30-M31</f>
        <v>357799.440000003</v>
      </c>
      <c r="N32" s="46" t="n">
        <f aca="false">N29+N30-N31</f>
        <v>1158549.93</v>
      </c>
      <c r="O32" s="46" t="n">
        <f aca="false">O29+O30-O31</f>
        <v>882966.750000001</v>
      </c>
      <c r="P32" s="46" t="n">
        <f aca="false">P29+P30-P31</f>
        <v>936411.550000001</v>
      </c>
      <c r="Q32" s="46" t="n">
        <f aca="false">SUM(E32:P32)</f>
        <v>10960000.17</v>
      </c>
    </row>
    <row r="33" customFormat="false" ht="21.75" hidden="false" customHeight="true" outlineLevel="0" collapsed="false">
      <c r="B33" s="33" t="s">
        <v>330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</row>
    <row r="34" customFormat="false" ht="15" hidden="false" customHeight="false" outlineLevel="0" collapsed="false">
      <c r="B34" s="19" t="s">
        <v>331</v>
      </c>
      <c r="C34" s="35" t="s">
        <v>332</v>
      </c>
      <c r="D34" s="36" t="n">
        <f aca="false">D32</f>
        <v>206839.54</v>
      </c>
      <c r="E34" s="37" t="n">
        <f aca="false">E32</f>
        <v>735670.37</v>
      </c>
      <c r="F34" s="37" t="n">
        <f aca="false">F32</f>
        <v>1066687.78</v>
      </c>
      <c r="G34" s="37" t="n">
        <f aca="false">G32</f>
        <v>1066132.8</v>
      </c>
      <c r="H34" s="37" t="n">
        <f aca="false">H32</f>
        <v>855598.550000001</v>
      </c>
      <c r="I34" s="37" t="n">
        <f aca="false">I32</f>
        <v>1430961.95</v>
      </c>
      <c r="J34" s="37" t="n">
        <f aca="false">J32</f>
        <v>1681883.19</v>
      </c>
      <c r="K34" s="37" t="n">
        <f aca="false">K32</f>
        <v>1184822.39</v>
      </c>
      <c r="L34" s="37" t="n">
        <f aca="false">L32</f>
        <v>-397484.53</v>
      </c>
      <c r="M34" s="37" t="n">
        <f aca="false">M32</f>
        <v>357799.440000003</v>
      </c>
      <c r="N34" s="37" t="n">
        <f aca="false">N32</f>
        <v>1158549.93</v>
      </c>
      <c r="O34" s="37" t="n">
        <f aca="false">O32</f>
        <v>882966.750000001</v>
      </c>
      <c r="P34" s="37" t="n">
        <f aca="false">P32</f>
        <v>936411.550000001</v>
      </c>
      <c r="Q34" s="38" t="n">
        <f aca="false">SUM(E34:P34)</f>
        <v>10960000.17</v>
      </c>
    </row>
    <row r="35" customFormat="false" ht="15" hidden="false" customHeight="false" outlineLevel="0" collapsed="false">
      <c r="B35" s="19" t="s">
        <v>333</v>
      </c>
      <c r="C35" s="35" t="s">
        <v>334</v>
      </c>
      <c r="D35" s="36" t="n">
        <f aca="false">SUMPRODUCT(((LEFT(Balance!$B$7:$B$400,4)="6191")+(LEFT(Balance!$B$7:$B$400,4)="6192")+(LEFT(Balance!$B$7:$B$400,4)="6193")+(LEFT(Balance!$B$7:$B$400,4)="6194")+(LEFT(Balance!$B$7:$B$400,4)="6195"))*Balance!D$7:D$400)</f>
        <v>733333.33</v>
      </c>
      <c r="E35" s="37" t="n">
        <f aca="false">SUMPRODUCT(((LEFT(Balance!$B$7:$B$400,4)="6191")+(LEFT(Balance!$B$7:$B$400,4)="6192")+(LEFT(Balance!$B$7:$B$400,4)="6193")+(LEFT(Balance!$B$7:$B$400,4)="6194")+(LEFT(Balance!$B$7:$B$400,4)="6195"))*Balance!E$7:E$400)</f>
        <v>733333.33</v>
      </c>
      <c r="F35" s="37" t="n">
        <f aca="false">SUMPRODUCT(((LEFT(Balance!$B$7:$B$400,4)="6191")+(LEFT(Balance!$B$7:$B$400,4)="6192")+(LEFT(Balance!$B$7:$B$400,4)="6193")+(LEFT(Balance!$B$7:$B$400,4)="6194")+(LEFT(Balance!$B$7:$B$400,4)="6195"))*Balance!F$7:F$400)</f>
        <v>733333.33</v>
      </c>
      <c r="G35" s="37" t="n">
        <f aca="false">SUMPRODUCT(((LEFT(Balance!$B$7:$B$400,4)="6191")+(LEFT(Balance!$B$7:$B$400,4)="6192")+(LEFT(Balance!$B$7:$B$400,4)="6193")+(LEFT(Balance!$B$7:$B$400,4)="6194")+(LEFT(Balance!$B$7:$B$400,4)="6195"))*Balance!G$7:G$400)</f>
        <v>733333.33</v>
      </c>
      <c r="H35" s="37" t="n">
        <f aca="false">SUMPRODUCT(((LEFT(Balance!$B$7:$B$400,4)="6191")+(LEFT(Balance!$B$7:$B$400,4)="6192")+(LEFT(Balance!$B$7:$B$400,4)="6193")+(LEFT(Balance!$B$7:$B$400,4)="6194")+(LEFT(Balance!$B$7:$B$400,4)="6195"))*Balance!H$7:H$400)</f>
        <v>733333.33</v>
      </c>
      <c r="I35" s="37" t="n">
        <f aca="false">SUMPRODUCT(((LEFT(Balance!$B$7:$B$400,4)="6191")+(LEFT(Balance!$B$7:$B$400,4)="6192")+(LEFT(Balance!$B$7:$B$400,4)="6193")+(LEFT(Balance!$B$7:$B$400,4)="6194")+(LEFT(Balance!$B$7:$B$400,4)="6195"))*Balance!I$7:I$400)</f>
        <v>733333.33</v>
      </c>
      <c r="J35" s="37" t="n">
        <f aca="false">SUMPRODUCT(((LEFT(Balance!$B$7:$B$400,4)="6191")+(LEFT(Balance!$B$7:$B$400,4)="6192")+(LEFT(Balance!$B$7:$B$400,4)="6193")+(LEFT(Balance!$B$7:$B$400,4)="6194")+(LEFT(Balance!$B$7:$B$400,4)="6195"))*Balance!J$7:J$400)</f>
        <v>733333.33</v>
      </c>
      <c r="K35" s="37" t="n">
        <f aca="false">SUMPRODUCT(((LEFT(Balance!$B$7:$B$400,4)="6191")+(LEFT(Balance!$B$7:$B$400,4)="6192")+(LEFT(Balance!$B$7:$B$400,4)="6193")+(LEFT(Balance!$B$7:$B$400,4)="6194")+(LEFT(Balance!$B$7:$B$400,4)="6195"))*Balance!K$7:K$400)</f>
        <v>733333.33</v>
      </c>
      <c r="L35" s="37" t="n">
        <f aca="false">SUMPRODUCT(((LEFT(Balance!$B$7:$B$400,4)="6191")+(LEFT(Balance!$B$7:$B$400,4)="6192")+(LEFT(Balance!$B$7:$B$400,4)="6193")+(LEFT(Balance!$B$7:$B$400,4)="6194")+(LEFT(Balance!$B$7:$B$400,4)="6195"))*Balance!L$7:L$400)</f>
        <v>733333.33</v>
      </c>
      <c r="M35" s="37" t="n">
        <f aca="false">SUMPRODUCT(((LEFT(Balance!$B$7:$B$400,4)="6191")+(LEFT(Balance!$B$7:$B$400,4)="6192")+(LEFT(Balance!$B$7:$B$400,4)="6193")+(LEFT(Balance!$B$7:$B$400,4)="6194")+(LEFT(Balance!$B$7:$B$400,4)="6195"))*Balance!M$7:M$400)</f>
        <v>733333.33</v>
      </c>
      <c r="N35" s="37" t="n">
        <f aca="false">SUMPRODUCT(((LEFT(Balance!$B$7:$B$400,4)="6191")+(LEFT(Balance!$B$7:$B$400,4)="6192")+(LEFT(Balance!$B$7:$B$400,4)="6193")+(LEFT(Balance!$B$7:$B$400,4)="6194")+(LEFT(Balance!$B$7:$B$400,4)="6195"))*Balance!N$7:N$400)</f>
        <v>733333.33</v>
      </c>
      <c r="O35" s="37" t="n">
        <f aca="false">SUMPRODUCT(((LEFT(Balance!$B$7:$B$400,4)="6191")+(LEFT(Balance!$B$7:$B$400,4)="6192")+(LEFT(Balance!$B$7:$B$400,4)="6193")+(LEFT(Balance!$B$7:$B$400,4)="6194")+(LEFT(Balance!$B$7:$B$400,4)="6195"))*Balance!O$7:O$400)</f>
        <v>733333.33</v>
      </c>
      <c r="P35" s="37" t="n">
        <f aca="false">SUMPRODUCT(((LEFT(Balance!$B$7:$B$400,4)="6191")+(LEFT(Balance!$B$7:$B$400,4)="6192")+(LEFT(Balance!$B$7:$B$400,4)="6193")+(LEFT(Balance!$B$7:$B$400,4)="6194")+(LEFT(Balance!$B$7:$B$400,4)="6195"))*Balance!P$7:P$400)</f>
        <v>733333.33</v>
      </c>
      <c r="Q35" s="38" t="n">
        <f aca="false">SUM(E35:P35)</f>
        <v>8799999.96</v>
      </c>
    </row>
    <row r="36" customFormat="false" ht="15" hidden="false" customHeight="false" outlineLevel="0" collapsed="false">
      <c r="B36" s="19" t="s">
        <v>335</v>
      </c>
      <c r="C36" s="35" t="s">
        <v>336</v>
      </c>
      <c r="D36" s="36" t="n">
        <f aca="false">SUMPRODUCT(((LEFT(Balance!$B$7:$B$400,4)="6392")+(LEFT(Balance!$B$7:$B$400,4)="6393"))*Balance!D$7:D$400)</f>
        <v>0</v>
      </c>
      <c r="E36" s="37" t="n">
        <f aca="false">SUMPRODUCT(((LEFT(Balance!$B$7:$B$400,4)="6392")+(LEFT(Balance!$B$7:$B$400,4)="6393"))*Balance!E$7:E$400)</f>
        <v>0</v>
      </c>
      <c r="F36" s="37" t="n">
        <f aca="false">SUMPRODUCT(((LEFT(Balance!$B$7:$B$400,4)="6392")+(LEFT(Balance!$B$7:$B$400,4)="6393"))*Balance!F$7:F$400)</f>
        <v>0</v>
      </c>
      <c r="G36" s="37" t="n">
        <f aca="false">SUMPRODUCT(((LEFT(Balance!$B$7:$B$400,4)="6392")+(LEFT(Balance!$B$7:$B$400,4)="6393"))*Balance!G$7:G$400)</f>
        <v>0</v>
      </c>
      <c r="H36" s="37" t="n">
        <f aca="false">SUMPRODUCT(((LEFT(Balance!$B$7:$B$400,4)="6392")+(LEFT(Balance!$B$7:$B$400,4)="6393"))*Balance!H$7:H$400)</f>
        <v>0</v>
      </c>
      <c r="I36" s="37" t="n">
        <f aca="false">SUMPRODUCT(((LEFT(Balance!$B$7:$B$400,4)="6392")+(LEFT(Balance!$B$7:$B$400,4)="6393"))*Balance!I$7:I$400)</f>
        <v>0</v>
      </c>
      <c r="J36" s="37" t="n">
        <f aca="false">SUMPRODUCT(((LEFT(Balance!$B$7:$B$400,4)="6392")+(LEFT(Balance!$B$7:$B$400,4)="6393"))*Balance!J$7:J$400)</f>
        <v>0</v>
      </c>
      <c r="K36" s="37" t="n">
        <f aca="false">SUMPRODUCT(((LEFT(Balance!$B$7:$B$400,4)="6392")+(LEFT(Balance!$B$7:$B$400,4)="6393"))*Balance!K$7:K$400)</f>
        <v>0</v>
      </c>
      <c r="L36" s="37" t="n">
        <f aca="false">SUMPRODUCT(((LEFT(Balance!$B$7:$B$400,4)="6392")+(LEFT(Balance!$B$7:$B$400,4)="6393"))*Balance!L$7:L$400)</f>
        <v>0</v>
      </c>
      <c r="M36" s="37" t="n">
        <f aca="false">SUMPRODUCT(((LEFT(Balance!$B$7:$B$400,4)="6392")+(LEFT(Balance!$B$7:$B$400,4)="6393"))*Balance!M$7:M$400)</f>
        <v>0</v>
      </c>
      <c r="N36" s="37" t="n">
        <f aca="false">SUMPRODUCT(((LEFT(Balance!$B$7:$B$400,4)="6392")+(LEFT(Balance!$B$7:$B$400,4)="6393"))*Balance!N$7:N$400)</f>
        <v>0</v>
      </c>
      <c r="O36" s="37" t="n">
        <f aca="false">SUMPRODUCT(((LEFT(Balance!$B$7:$B$400,4)="6392")+(LEFT(Balance!$B$7:$B$400,4)="6393"))*Balance!O$7:O$400)</f>
        <v>0</v>
      </c>
      <c r="P36" s="37" t="n">
        <f aca="false">SUMPRODUCT(((LEFT(Balance!$B$7:$B$400,4)="6392")+(LEFT(Balance!$B$7:$B$400,4)="6393"))*Balance!P$7:P$400)</f>
        <v>0</v>
      </c>
      <c r="Q36" s="38" t="n">
        <f aca="false">SUM(E36:P36)</f>
        <v>0</v>
      </c>
    </row>
    <row r="37" customFormat="false" ht="15" hidden="false" customHeight="false" outlineLevel="0" collapsed="false">
      <c r="B37" s="19" t="s">
        <v>337</v>
      </c>
      <c r="C37" s="35" t="s">
        <v>338</v>
      </c>
      <c r="D37" s="36" t="n">
        <f aca="false">SUMPRODUCT(((LEFT(Balance!$B$7:$B$400,4)="6591")+(LEFT(Balance!$B$7:$B$400,4)="6592")+(LEFT(Balance!$B$7:$B$400,4)="6593")+(LEFT(Balance!$B$7:$B$400,4)="6594")+(LEFT(Balance!$B$7:$B$400,4)="6595"))*Balance!D$7:D$400)</f>
        <v>0</v>
      </c>
      <c r="E37" s="37" t="n">
        <f aca="false">SUMPRODUCT(((LEFT(Balance!$B$7:$B$400,4)="6591")+(LEFT(Balance!$B$7:$B$400,4)="6592")+(LEFT(Balance!$B$7:$B$400,4)="6593")+(LEFT(Balance!$B$7:$B$400,4)="6594")+(LEFT(Balance!$B$7:$B$400,4)="6595"))*Balance!E$7:E$400)</f>
        <v>0</v>
      </c>
      <c r="F37" s="37" t="n">
        <f aca="false">SUMPRODUCT(((LEFT(Balance!$B$7:$B$400,4)="6591")+(LEFT(Balance!$B$7:$B$400,4)="6592")+(LEFT(Balance!$B$7:$B$400,4)="6593")+(LEFT(Balance!$B$7:$B$400,4)="6594")+(LEFT(Balance!$B$7:$B$400,4)="6595"))*Balance!F$7:F$400)</f>
        <v>0</v>
      </c>
      <c r="G37" s="37" t="n">
        <f aca="false">SUMPRODUCT(((LEFT(Balance!$B$7:$B$400,4)="6591")+(LEFT(Balance!$B$7:$B$400,4)="6592")+(LEFT(Balance!$B$7:$B$400,4)="6593")+(LEFT(Balance!$B$7:$B$400,4)="6594")+(LEFT(Balance!$B$7:$B$400,4)="6595"))*Balance!G$7:G$400)</f>
        <v>0</v>
      </c>
      <c r="H37" s="37" t="n">
        <f aca="false">SUMPRODUCT(((LEFT(Balance!$B$7:$B$400,4)="6591")+(LEFT(Balance!$B$7:$B$400,4)="6592")+(LEFT(Balance!$B$7:$B$400,4)="6593")+(LEFT(Balance!$B$7:$B$400,4)="6594")+(LEFT(Balance!$B$7:$B$400,4)="6595"))*Balance!H$7:H$400)</f>
        <v>0</v>
      </c>
      <c r="I37" s="37" t="n">
        <f aca="false">SUMPRODUCT(((LEFT(Balance!$B$7:$B$400,4)="6591")+(LEFT(Balance!$B$7:$B$400,4)="6592")+(LEFT(Balance!$B$7:$B$400,4)="6593")+(LEFT(Balance!$B$7:$B$400,4)="6594")+(LEFT(Balance!$B$7:$B$400,4)="6595"))*Balance!I$7:I$400)</f>
        <v>0</v>
      </c>
      <c r="J37" s="37" t="n">
        <f aca="false">SUMPRODUCT(((LEFT(Balance!$B$7:$B$400,4)="6591")+(LEFT(Balance!$B$7:$B$400,4)="6592")+(LEFT(Balance!$B$7:$B$400,4)="6593")+(LEFT(Balance!$B$7:$B$400,4)="6594")+(LEFT(Balance!$B$7:$B$400,4)="6595"))*Balance!J$7:J$400)</f>
        <v>0</v>
      </c>
      <c r="K37" s="37" t="n">
        <f aca="false">SUMPRODUCT(((LEFT(Balance!$B$7:$B$400,4)="6591")+(LEFT(Balance!$B$7:$B$400,4)="6592")+(LEFT(Balance!$B$7:$B$400,4)="6593")+(LEFT(Balance!$B$7:$B$400,4)="6594")+(LEFT(Balance!$B$7:$B$400,4)="6595"))*Balance!K$7:K$400)</f>
        <v>0</v>
      </c>
      <c r="L37" s="37" t="n">
        <f aca="false">SUMPRODUCT(((LEFT(Balance!$B$7:$B$400,4)="6591")+(LEFT(Balance!$B$7:$B$400,4)="6592")+(LEFT(Balance!$B$7:$B$400,4)="6593")+(LEFT(Balance!$B$7:$B$400,4)="6594")+(LEFT(Balance!$B$7:$B$400,4)="6595"))*Balance!L$7:L$400)</f>
        <v>0</v>
      </c>
      <c r="M37" s="37" t="n">
        <f aca="false">SUMPRODUCT(((LEFT(Balance!$B$7:$B$400,4)="6591")+(LEFT(Balance!$B$7:$B$400,4)="6592")+(LEFT(Balance!$B$7:$B$400,4)="6593")+(LEFT(Balance!$B$7:$B$400,4)="6594")+(LEFT(Balance!$B$7:$B$400,4)="6595"))*Balance!M$7:M$400)</f>
        <v>0</v>
      </c>
      <c r="N37" s="37" t="n">
        <f aca="false">SUMPRODUCT(((LEFT(Balance!$B$7:$B$400,4)="6591")+(LEFT(Balance!$B$7:$B$400,4)="6592")+(LEFT(Balance!$B$7:$B$400,4)="6593")+(LEFT(Balance!$B$7:$B$400,4)="6594")+(LEFT(Balance!$B$7:$B$400,4)="6595"))*Balance!N$7:N$400)</f>
        <v>0</v>
      </c>
      <c r="O37" s="37" t="n">
        <f aca="false">SUMPRODUCT(((LEFT(Balance!$B$7:$B$400,4)="6591")+(LEFT(Balance!$B$7:$B$400,4)="6592")+(LEFT(Balance!$B$7:$B$400,4)="6593")+(LEFT(Balance!$B$7:$B$400,4)="6594")+(LEFT(Balance!$B$7:$B$400,4)="6595"))*Balance!O$7:O$400)</f>
        <v>0</v>
      </c>
      <c r="P37" s="37" t="n">
        <f aca="false">SUMPRODUCT(((LEFT(Balance!$B$7:$B$400,4)="6591")+(LEFT(Balance!$B$7:$B$400,4)="6592")+(LEFT(Balance!$B$7:$B$400,4)="6593")+(LEFT(Balance!$B$7:$B$400,4)="6594")+(LEFT(Balance!$B$7:$B$400,4)="6595"))*Balance!P$7:P$400)</f>
        <v>0</v>
      </c>
      <c r="Q37" s="38" t="n">
        <f aca="false">SUM(E37:P37)</f>
        <v>0</v>
      </c>
    </row>
    <row r="38" customFormat="false" ht="15" hidden="false" customHeight="false" outlineLevel="0" collapsed="false">
      <c r="B38" s="19" t="s">
        <v>339</v>
      </c>
      <c r="C38" s="35" t="s">
        <v>340</v>
      </c>
      <c r="D38" s="36" t="n">
        <f aca="false">-SUMPRODUCT(((LEFT(Balance!$B$7:$B$400,4)="7191")+(LEFT(Balance!$B$7:$B$400,4)="7192")+(LEFT(Balance!$B$7:$B$400,4)="7193")+(LEFT(Balance!$B$7:$B$400,4)="7194")+(LEFT(Balance!$B$7:$B$400,4)="7195"))*Balance!D$7:D$400)</f>
        <v>-0</v>
      </c>
      <c r="E38" s="37" t="n">
        <f aca="false">-SUMPRODUCT(((LEFT(Balance!$B$7:$B$400,4)="7191")+(LEFT(Balance!$B$7:$B$400,4)="7192")+(LEFT(Balance!$B$7:$B$400,4)="7193")+(LEFT(Balance!$B$7:$B$400,4)="7194")+(LEFT(Balance!$B$7:$B$400,4)="7195"))*Balance!E$7:E$400)</f>
        <v>-0</v>
      </c>
      <c r="F38" s="37" t="n">
        <f aca="false">-SUMPRODUCT(((LEFT(Balance!$B$7:$B$400,4)="7191")+(LEFT(Balance!$B$7:$B$400,4)="7192")+(LEFT(Balance!$B$7:$B$400,4)="7193")+(LEFT(Balance!$B$7:$B$400,4)="7194")+(LEFT(Balance!$B$7:$B$400,4)="7195"))*Balance!F$7:F$400)</f>
        <v>-0</v>
      </c>
      <c r="G38" s="37" t="n">
        <f aca="false">-SUMPRODUCT(((LEFT(Balance!$B$7:$B$400,4)="7191")+(LEFT(Balance!$B$7:$B$400,4)="7192")+(LEFT(Balance!$B$7:$B$400,4)="7193")+(LEFT(Balance!$B$7:$B$400,4)="7194")+(LEFT(Balance!$B$7:$B$400,4)="7195"))*Balance!G$7:G$400)</f>
        <v>-0</v>
      </c>
      <c r="H38" s="37" t="n">
        <f aca="false">-SUMPRODUCT(((LEFT(Balance!$B$7:$B$400,4)="7191")+(LEFT(Balance!$B$7:$B$400,4)="7192")+(LEFT(Balance!$B$7:$B$400,4)="7193")+(LEFT(Balance!$B$7:$B$400,4)="7194")+(LEFT(Balance!$B$7:$B$400,4)="7195"))*Balance!H$7:H$400)</f>
        <v>-0</v>
      </c>
      <c r="I38" s="37" t="n">
        <f aca="false">-SUMPRODUCT(((LEFT(Balance!$B$7:$B$400,4)="7191")+(LEFT(Balance!$B$7:$B$400,4)="7192")+(LEFT(Balance!$B$7:$B$400,4)="7193")+(LEFT(Balance!$B$7:$B$400,4)="7194")+(LEFT(Balance!$B$7:$B$400,4)="7195"))*Balance!I$7:I$400)</f>
        <v>-0</v>
      </c>
      <c r="J38" s="37" t="n">
        <f aca="false">-SUMPRODUCT(((LEFT(Balance!$B$7:$B$400,4)="7191")+(LEFT(Balance!$B$7:$B$400,4)="7192")+(LEFT(Balance!$B$7:$B$400,4)="7193")+(LEFT(Balance!$B$7:$B$400,4)="7194")+(LEFT(Balance!$B$7:$B$400,4)="7195"))*Balance!J$7:J$400)</f>
        <v>-0</v>
      </c>
      <c r="K38" s="37" t="n">
        <f aca="false">-SUMPRODUCT(((LEFT(Balance!$B$7:$B$400,4)="7191")+(LEFT(Balance!$B$7:$B$400,4)="7192")+(LEFT(Balance!$B$7:$B$400,4)="7193")+(LEFT(Balance!$B$7:$B$400,4)="7194")+(LEFT(Balance!$B$7:$B$400,4)="7195"))*Balance!K$7:K$400)</f>
        <v>-0</v>
      </c>
      <c r="L38" s="37" t="n">
        <f aca="false">-SUMPRODUCT(((LEFT(Balance!$B$7:$B$400,4)="7191")+(LEFT(Balance!$B$7:$B$400,4)="7192")+(LEFT(Balance!$B$7:$B$400,4)="7193")+(LEFT(Balance!$B$7:$B$400,4)="7194")+(LEFT(Balance!$B$7:$B$400,4)="7195"))*Balance!L$7:L$400)</f>
        <v>-0</v>
      </c>
      <c r="M38" s="37" t="n">
        <f aca="false">-SUMPRODUCT(((LEFT(Balance!$B$7:$B$400,4)="7191")+(LEFT(Balance!$B$7:$B$400,4)="7192")+(LEFT(Balance!$B$7:$B$400,4)="7193")+(LEFT(Balance!$B$7:$B$400,4)="7194")+(LEFT(Balance!$B$7:$B$400,4)="7195"))*Balance!M$7:M$400)</f>
        <v>-0</v>
      </c>
      <c r="N38" s="37" t="n">
        <f aca="false">-SUMPRODUCT(((LEFT(Balance!$B$7:$B$400,4)="7191")+(LEFT(Balance!$B$7:$B$400,4)="7192")+(LEFT(Balance!$B$7:$B$400,4)="7193")+(LEFT(Balance!$B$7:$B$400,4)="7194")+(LEFT(Balance!$B$7:$B$400,4)="7195"))*Balance!N$7:N$400)</f>
        <v>-0</v>
      </c>
      <c r="O38" s="37" t="n">
        <f aca="false">-SUMPRODUCT(((LEFT(Balance!$B$7:$B$400,4)="7191")+(LEFT(Balance!$B$7:$B$400,4)="7192")+(LEFT(Balance!$B$7:$B$400,4)="7193")+(LEFT(Balance!$B$7:$B$400,4)="7194")+(LEFT(Balance!$B$7:$B$400,4)="7195"))*Balance!O$7:O$400)</f>
        <v>-0</v>
      </c>
      <c r="P38" s="37" t="n">
        <f aca="false">-SUMPRODUCT(((LEFT(Balance!$B$7:$B$400,4)="7191")+(LEFT(Balance!$B$7:$B$400,4)="7192")+(LEFT(Balance!$B$7:$B$400,4)="7193")+(LEFT(Balance!$B$7:$B$400,4)="7194")+(LEFT(Balance!$B$7:$B$400,4)="7195"))*Balance!P$7:P$400)</f>
        <v>-0</v>
      </c>
      <c r="Q38" s="38" t="n">
        <f aca="false">SUM(E38:P38)</f>
        <v>0</v>
      </c>
    </row>
    <row r="39" customFormat="false" ht="15" hidden="false" customHeight="false" outlineLevel="0" collapsed="false">
      <c r="B39" s="19" t="s">
        <v>341</v>
      </c>
      <c r="C39" s="35" t="s">
        <v>342</v>
      </c>
      <c r="D39" s="36" t="n">
        <f aca="false">-SUMPRODUCT(((LEFT(Balance!$B$7:$B$400,4)="7392")+(LEFT(Balance!$B$7:$B$400,4)="7393"))*Balance!D$7:D$400)</f>
        <v>-0</v>
      </c>
      <c r="E39" s="37" t="n">
        <f aca="false">-SUMPRODUCT(((LEFT(Balance!$B$7:$B$400,4)="7392")+(LEFT(Balance!$B$7:$B$400,4)="7393"))*Balance!E$7:E$400)</f>
        <v>-0</v>
      </c>
      <c r="F39" s="37" t="n">
        <f aca="false">-SUMPRODUCT(((LEFT(Balance!$B$7:$B$400,4)="7392")+(LEFT(Balance!$B$7:$B$400,4)="7393"))*Balance!F$7:F$400)</f>
        <v>-0</v>
      </c>
      <c r="G39" s="37" t="n">
        <f aca="false">-SUMPRODUCT(((LEFT(Balance!$B$7:$B$400,4)="7392")+(LEFT(Balance!$B$7:$B$400,4)="7393"))*Balance!G$7:G$400)</f>
        <v>-0</v>
      </c>
      <c r="H39" s="37" t="n">
        <f aca="false">-SUMPRODUCT(((LEFT(Balance!$B$7:$B$400,4)="7392")+(LEFT(Balance!$B$7:$B$400,4)="7393"))*Balance!H$7:H$400)</f>
        <v>-0</v>
      </c>
      <c r="I39" s="37" t="n">
        <f aca="false">-SUMPRODUCT(((LEFT(Balance!$B$7:$B$400,4)="7392")+(LEFT(Balance!$B$7:$B$400,4)="7393"))*Balance!I$7:I$400)</f>
        <v>-0</v>
      </c>
      <c r="J39" s="37" t="n">
        <f aca="false">-SUMPRODUCT(((LEFT(Balance!$B$7:$B$400,4)="7392")+(LEFT(Balance!$B$7:$B$400,4)="7393"))*Balance!J$7:J$400)</f>
        <v>-0</v>
      </c>
      <c r="K39" s="37" t="n">
        <f aca="false">-SUMPRODUCT(((LEFT(Balance!$B$7:$B$400,4)="7392")+(LEFT(Balance!$B$7:$B$400,4)="7393"))*Balance!K$7:K$400)</f>
        <v>-0</v>
      </c>
      <c r="L39" s="37" t="n">
        <f aca="false">-SUMPRODUCT(((LEFT(Balance!$B$7:$B$400,4)="7392")+(LEFT(Balance!$B$7:$B$400,4)="7393"))*Balance!L$7:L$400)</f>
        <v>-0</v>
      </c>
      <c r="M39" s="37" t="n">
        <f aca="false">-SUMPRODUCT(((LEFT(Balance!$B$7:$B$400,4)="7392")+(LEFT(Balance!$B$7:$B$400,4)="7393"))*Balance!M$7:M$400)</f>
        <v>-0</v>
      </c>
      <c r="N39" s="37" t="n">
        <f aca="false">-SUMPRODUCT(((LEFT(Balance!$B$7:$B$400,4)="7392")+(LEFT(Balance!$B$7:$B$400,4)="7393"))*Balance!N$7:N$400)</f>
        <v>-0</v>
      </c>
      <c r="O39" s="37" t="n">
        <f aca="false">-SUMPRODUCT(((LEFT(Balance!$B$7:$B$400,4)="7392")+(LEFT(Balance!$B$7:$B$400,4)="7393"))*Balance!O$7:O$400)</f>
        <v>-0</v>
      </c>
      <c r="P39" s="37" t="n">
        <f aca="false">-SUMPRODUCT(((LEFT(Balance!$B$7:$B$400,4)="7392")+(LEFT(Balance!$B$7:$B$400,4)="7393"))*Balance!P$7:P$400)</f>
        <v>-0</v>
      </c>
      <c r="Q39" s="38" t="n">
        <f aca="false">SUM(E39:P39)</f>
        <v>0</v>
      </c>
    </row>
    <row r="40" customFormat="false" ht="15" hidden="false" customHeight="false" outlineLevel="0" collapsed="false">
      <c r="B40" s="19" t="s">
        <v>343</v>
      </c>
      <c r="C40" s="35" t="s">
        <v>344</v>
      </c>
      <c r="D40" s="36" t="n">
        <f aca="false">-SUMPRODUCT(((LEFT(Balance!$B$7:$B$400,3)="757")+(LEFT(Balance!$B$7:$B$400,4)="7591")+(LEFT(Balance!$B$7:$B$400,4)="7592")+(LEFT(Balance!$B$7:$B$400,4)="7593")+(LEFT(Balance!$B$7:$B$400,4)="7594")+(LEFT(Balance!$B$7:$B$400,4)="7595"))*Balance!D$7:D$400)</f>
        <v>10000</v>
      </c>
      <c r="E40" s="37" t="n">
        <f aca="false">-SUMPRODUCT(((LEFT(Balance!$B$7:$B$400,3)="757")+(LEFT(Balance!$B$7:$B$400,4)="7591")+(LEFT(Balance!$B$7:$B$400,4)="7592")+(LEFT(Balance!$B$7:$B$400,4)="7593")+(LEFT(Balance!$B$7:$B$400,4)="7594")+(LEFT(Balance!$B$7:$B$400,4)="7595"))*Balance!E$7:E$400)</f>
        <v>10000</v>
      </c>
      <c r="F40" s="37" t="n">
        <f aca="false">-SUMPRODUCT(((LEFT(Balance!$B$7:$B$400,3)="757")+(LEFT(Balance!$B$7:$B$400,4)="7591")+(LEFT(Balance!$B$7:$B$400,4)="7592")+(LEFT(Balance!$B$7:$B$400,4)="7593")+(LEFT(Balance!$B$7:$B$400,4)="7594")+(LEFT(Balance!$B$7:$B$400,4)="7595"))*Balance!F$7:F$400)</f>
        <v>10000</v>
      </c>
      <c r="G40" s="37" t="n">
        <f aca="false">-SUMPRODUCT(((LEFT(Balance!$B$7:$B$400,3)="757")+(LEFT(Balance!$B$7:$B$400,4)="7591")+(LEFT(Balance!$B$7:$B$400,4)="7592")+(LEFT(Balance!$B$7:$B$400,4)="7593")+(LEFT(Balance!$B$7:$B$400,4)="7594")+(LEFT(Balance!$B$7:$B$400,4)="7595"))*Balance!G$7:G$400)</f>
        <v>10000</v>
      </c>
      <c r="H40" s="37" t="n">
        <f aca="false">-SUMPRODUCT(((LEFT(Balance!$B$7:$B$400,3)="757")+(LEFT(Balance!$B$7:$B$400,4)="7591")+(LEFT(Balance!$B$7:$B$400,4)="7592")+(LEFT(Balance!$B$7:$B$400,4)="7593")+(LEFT(Balance!$B$7:$B$400,4)="7594")+(LEFT(Balance!$B$7:$B$400,4)="7595"))*Balance!H$7:H$400)</f>
        <v>10000</v>
      </c>
      <c r="I40" s="37" t="n">
        <f aca="false">-SUMPRODUCT(((LEFT(Balance!$B$7:$B$400,3)="757")+(LEFT(Balance!$B$7:$B$400,4)="7591")+(LEFT(Balance!$B$7:$B$400,4)="7592")+(LEFT(Balance!$B$7:$B$400,4)="7593")+(LEFT(Balance!$B$7:$B$400,4)="7594")+(LEFT(Balance!$B$7:$B$400,4)="7595"))*Balance!I$7:I$400)</f>
        <v>10000</v>
      </c>
      <c r="J40" s="37" t="n">
        <f aca="false">-SUMPRODUCT(((LEFT(Balance!$B$7:$B$400,3)="757")+(LEFT(Balance!$B$7:$B$400,4)="7591")+(LEFT(Balance!$B$7:$B$400,4)="7592")+(LEFT(Balance!$B$7:$B$400,4)="7593")+(LEFT(Balance!$B$7:$B$400,4)="7594")+(LEFT(Balance!$B$7:$B$400,4)="7595"))*Balance!J$7:J$400)</f>
        <v>10000</v>
      </c>
      <c r="K40" s="37" t="n">
        <f aca="false">-SUMPRODUCT(((LEFT(Balance!$B$7:$B$400,3)="757")+(LEFT(Balance!$B$7:$B$400,4)="7591")+(LEFT(Balance!$B$7:$B$400,4)="7592")+(LEFT(Balance!$B$7:$B$400,4)="7593")+(LEFT(Balance!$B$7:$B$400,4)="7594")+(LEFT(Balance!$B$7:$B$400,4)="7595"))*Balance!K$7:K$400)</f>
        <v>10000</v>
      </c>
      <c r="L40" s="37" t="n">
        <f aca="false">-SUMPRODUCT(((LEFT(Balance!$B$7:$B$400,3)="757")+(LEFT(Balance!$B$7:$B$400,4)="7591")+(LEFT(Balance!$B$7:$B$400,4)="7592")+(LEFT(Balance!$B$7:$B$400,4)="7593")+(LEFT(Balance!$B$7:$B$400,4)="7594")+(LEFT(Balance!$B$7:$B$400,4)="7595"))*Balance!L$7:L$400)</f>
        <v>10000</v>
      </c>
      <c r="M40" s="37" t="n">
        <f aca="false">-SUMPRODUCT(((LEFT(Balance!$B$7:$B$400,3)="757")+(LEFT(Balance!$B$7:$B$400,4)="7591")+(LEFT(Balance!$B$7:$B$400,4)="7592")+(LEFT(Balance!$B$7:$B$400,4)="7593")+(LEFT(Balance!$B$7:$B$400,4)="7594")+(LEFT(Balance!$B$7:$B$400,4)="7595"))*Balance!M$7:M$400)</f>
        <v>10000</v>
      </c>
      <c r="N40" s="37" t="n">
        <f aca="false">-SUMPRODUCT(((LEFT(Balance!$B$7:$B$400,3)="757")+(LEFT(Balance!$B$7:$B$400,4)="7591")+(LEFT(Balance!$B$7:$B$400,4)="7592")+(LEFT(Balance!$B$7:$B$400,4)="7593")+(LEFT(Balance!$B$7:$B$400,4)="7594")+(LEFT(Balance!$B$7:$B$400,4)="7595"))*Balance!N$7:N$400)</f>
        <v>10000</v>
      </c>
      <c r="O40" s="37" t="n">
        <f aca="false">-SUMPRODUCT(((LEFT(Balance!$B$7:$B$400,3)="757")+(LEFT(Balance!$B$7:$B$400,4)="7591")+(LEFT(Balance!$B$7:$B$400,4)="7592")+(LEFT(Balance!$B$7:$B$400,4)="7593")+(LEFT(Balance!$B$7:$B$400,4)="7594")+(LEFT(Balance!$B$7:$B$400,4)="7595"))*Balance!O$7:O$400)</f>
        <v>10000</v>
      </c>
      <c r="P40" s="37" t="n">
        <f aca="false">-SUMPRODUCT(((LEFT(Balance!$B$7:$B$400,3)="757")+(LEFT(Balance!$B$7:$B$400,4)="7591")+(LEFT(Balance!$B$7:$B$400,4)="7592")+(LEFT(Balance!$B$7:$B$400,4)="7593")+(LEFT(Balance!$B$7:$B$400,4)="7594")+(LEFT(Balance!$B$7:$B$400,4)="7595"))*Balance!P$7:P$400)</f>
        <v>10000</v>
      </c>
      <c r="Q40" s="38" t="n">
        <f aca="false">SUM(E40:P40)</f>
        <v>120000</v>
      </c>
    </row>
    <row r="41" customFormat="false" ht="15" hidden="false" customHeight="false" outlineLevel="0" collapsed="false">
      <c r="B41" s="19" t="s">
        <v>345</v>
      </c>
      <c r="C41" s="35" t="s">
        <v>269</v>
      </c>
      <c r="D41" s="36" t="n">
        <f aca="false">-SUMPRODUCT(((LEFT(Balance!$B$7:$B$400,3)="751"))*Balance!D$7:D$400)</f>
        <v>-0</v>
      </c>
      <c r="E41" s="37" t="n">
        <f aca="false">-SUMPRODUCT(((LEFT(Balance!$B$7:$B$400,3)="751"))*Balance!E$7:E$400)</f>
        <v>-0</v>
      </c>
      <c r="F41" s="37" t="n">
        <f aca="false">-SUMPRODUCT(((LEFT(Balance!$B$7:$B$400,3)="751"))*Balance!F$7:F$400)</f>
        <v>-0</v>
      </c>
      <c r="G41" s="37" t="n">
        <f aca="false">-SUMPRODUCT(((LEFT(Balance!$B$7:$B$400,3)="751"))*Balance!G$7:G$400)</f>
        <v>-0</v>
      </c>
      <c r="H41" s="37" t="n">
        <f aca="false">-SUMPRODUCT(((LEFT(Balance!$B$7:$B$400,3)="751"))*Balance!H$7:H$400)</f>
        <v>-0</v>
      </c>
      <c r="I41" s="37" t="n">
        <f aca="false">-SUMPRODUCT(((LEFT(Balance!$B$7:$B$400,3)="751"))*Balance!I$7:I$400)</f>
        <v>-0</v>
      </c>
      <c r="J41" s="37" t="n">
        <f aca="false">-SUMPRODUCT(((LEFT(Balance!$B$7:$B$400,3)="751"))*Balance!J$7:J$400)</f>
        <v>-0</v>
      </c>
      <c r="K41" s="37" t="n">
        <f aca="false">-SUMPRODUCT(((LEFT(Balance!$B$7:$B$400,3)="751"))*Balance!K$7:K$400)</f>
        <v>-0</v>
      </c>
      <c r="L41" s="37" t="n">
        <f aca="false">-SUMPRODUCT(((LEFT(Balance!$B$7:$B$400,3)="751"))*Balance!L$7:L$400)</f>
        <v>-0</v>
      </c>
      <c r="M41" s="37" t="n">
        <f aca="false">-SUMPRODUCT(((LEFT(Balance!$B$7:$B$400,3)="751"))*Balance!M$7:M$400)</f>
        <v>-0</v>
      </c>
      <c r="N41" s="37" t="n">
        <f aca="false">-SUMPRODUCT(((LEFT(Balance!$B$7:$B$400,3)="751"))*Balance!N$7:N$400)</f>
        <v>300000</v>
      </c>
      <c r="O41" s="37" t="n">
        <f aca="false">-SUMPRODUCT(((LEFT(Balance!$B$7:$B$400,3)="751"))*Balance!O$7:O$400)</f>
        <v>-0</v>
      </c>
      <c r="P41" s="37" t="n">
        <f aca="false">-SUMPRODUCT(((LEFT(Balance!$B$7:$B$400,3)="751"))*Balance!P$7:P$400)</f>
        <v>-0</v>
      </c>
      <c r="Q41" s="38" t="n">
        <f aca="false">SUM(E41:P41)</f>
        <v>300000</v>
      </c>
    </row>
    <row r="42" customFormat="false" ht="15" hidden="false" customHeight="false" outlineLevel="0" collapsed="false">
      <c r="B42" s="19" t="s">
        <v>346</v>
      </c>
      <c r="C42" s="35" t="s">
        <v>280</v>
      </c>
      <c r="D42" s="36" t="n">
        <f aca="false">SUMPRODUCT(((LEFT(Balance!$B$7:$B$400,3)="651"))*Balance!D$7:D$400)</f>
        <v>0</v>
      </c>
      <c r="E42" s="37" t="n">
        <f aca="false">SUMPRODUCT(((LEFT(Balance!$B$7:$B$400,3)="651"))*Balance!E$7:E$400)</f>
        <v>0</v>
      </c>
      <c r="F42" s="37" t="n">
        <f aca="false">SUMPRODUCT(((LEFT(Balance!$B$7:$B$400,3)="651"))*Balance!F$7:F$400)</f>
        <v>0</v>
      </c>
      <c r="G42" s="37" t="n">
        <f aca="false">SUMPRODUCT(((LEFT(Balance!$B$7:$B$400,3)="651"))*Balance!G$7:G$400)</f>
        <v>0</v>
      </c>
      <c r="H42" s="37" t="n">
        <f aca="false">SUMPRODUCT(((LEFT(Balance!$B$7:$B$400,3)="651"))*Balance!H$7:H$400)</f>
        <v>0</v>
      </c>
      <c r="I42" s="37" t="n">
        <f aca="false">SUMPRODUCT(((LEFT(Balance!$B$7:$B$400,3)="651"))*Balance!I$7:I$400)</f>
        <v>0</v>
      </c>
      <c r="J42" s="37" t="n">
        <f aca="false">SUMPRODUCT(((LEFT(Balance!$B$7:$B$400,3)="651"))*Balance!J$7:J$400)</f>
        <v>0</v>
      </c>
      <c r="K42" s="37" t="n">
        <f aca="false">SUMPRODUCT(((LEFT(Balance!$B$7:$B$400,3)="651"))*Balance!K$7:K$400)</f>
        <v>0</v>
      </c>
      <c r="L42" s="37" t="n">
        <f aca="false">SUMPRODUCT(((LEFT(Balance!$B$7:$B$400,3)="651"))*Balance!L$7:L$400)</f>
        <v>0</v>
      </c>
      <c r="M42" s="37" t="n">
        <f aca="false">SUMPRODUCT(((LEFT(Balance!$B$7:$B$400,3)="651"))*Balance!M$7:M$400)</f>
        <v>0</v>
      </c>
      <c r="N42" s="37" t="n">
        <f aca="false">SUMPRODUCT(((LEFT(Balance!$B$7:$B$400,3)="651"))*Balance!N$7:N$400)</f>
        <v>250000</v>
      </c>
      <c r="O42" s="37" t="n">
        <f aca="false">SUMPRODUCT(((LEFT(Balance!$B$7:$B$400,3)="651"))*Balance!O$7:O$400)</f>
        <v>0</v>
      </c>
      <c r="P42" s="37" t="n">
        <f aca="false">SUMPRODUCT(((LEFT(Balance!$B$7:$B$400,3)="651"))*Balance!P$7:P$400)</f>
        <v>0</v>
      </c>
      <c r="Q42" s="38" t="n">
        <f aca="false">SUM(E42:P42)</f>
        <v>250000</v>
      </c>
    </row>
    <row r="43" customFormat="false" ht="19.5" hidden="false" customHeight="true" outlineLevel="0" collapsed="false">
      <c r="B43" s="44" t="s">
        <v>347</v>
      </c>
      <c r="C43" s="45"/>
      <c r="D43" s="46" t="n">
        <f aca="false">D34+D35+D36+D37-D38-D39-D40-D41+D42</f>
        <v>930172.87</v>
      </c>
      <c r="E43" s="46" t="n">
        <f aca="false">E34+E35+E36+E37-E38-E39-E40-E41+E42</f>
        <v>1459003.7</v>
      </c>
      <c r="F43" s="46" t="n">
        <f aca="false">F34+F35+F36+F37-F38-F39-F40-F41+F42</f>
        <v>1790021.11</v>
      </c>
      <c r="G43" s="46" t="n">
        <f aca="false">G34+G35+G36+G37-G38-G39-G40-G41+G42</f>
        <v>1789466.13</v>
      </c>
      <c r="H43" s="46" t="n">
        <f aca="false">H34+H35+H36+H37-H38-H39-H40-H41+H42</f>
        <v>1578931.88</v>
      </c>
      <c r="I43" s="46" t="n">
        <f aca="false">I34+I35+I36+I37-I38-I39-I40-I41+I42</f>
        <v>2154295.28</v>
      </c>
      <c r="J43" s="46" t="n">
        <f aca="false">J34+J35+J36+J37-J38-J39-J40-J41+J42</f>
        <v>2405216.52</v>
      </c>
      <c r="K43" s="46" t="n">
        <f aca="false">K34+K35+K36+K37-K38-K39-K40-K41+K42</f>
        <v>1908155.72</v>
      </c>
      <c r="L43" s="46" t="n">
        <f aca="false">L34+L35+L36+L37-L38-L39-L40-L41+L42</f>
        <v>325848.8</v>
      </c>
      <c r="M43" s="46" t="n">
        <f aca="false">M34+M35+M36+M37-M38-M39-M40-M41+M42</f>
        <v>1081132.77</v>
      </c>
      <c r="N43" s="46" t="n">
        <f aca="false">N34+N35+N36+N37-N38-N39-N40-N41+N42</f>
        <v>1831883.26</v>
      </c>
      <c r="O43" s="46" t="n">
        <f aca="false">O34+O35+O36+O37-O38-O39-O40-O41+O42</f>
        <v>1606300.08</v>
      </c>
      <c r="P43" s="46" t="n">
        <f aca="false">P34+P35+P36+P37-P38-P39-P40-P41+P42</f>
        <v>1659744.88</v>
      </c>
      <c r="Q43" s="46" t="n">
        <f aca="false">SUM(E43:P43)</f>
        <v>19590000.13</v>
      </c>
    </row>
    <row r="44" customFormat="false" ht="15" hidden="false" customHeight="false" outlineLevel="0" collapsed="false">
      <c r="B44" s="19" t="s">
        <v>348</v>
      </c>
      <c r="C44" s="35" t="s">
        <v>349</v>
      </c>
      <c r="D44" s="31" t="n">
        <v>0</v>
      </c>
      <c r="E44" s="31" t="n">
        <v>0</v>
      </c>
      <c r="F44" s="31" t="n">
        <v>0</v>
      </c>
      <c r="G44" s="31" t="n">
        <v>0</v>
      </c>
      <c r="H44" s="31" t="n">
        <v>0</v>
      </c>
      <c r="I44" s="31" t="n">
        <v>0</v>
      </c>
      <c r="J44" s="31" t="n">
        <v>0</v>
      </c>
      <c r="K44" s="31" t="n">
        <v>0</v>
      </c>
      <c r="L44" s="31" t="n">
        <v>0</v>
      </c>
      <c r="M44" s="31" t="n">
        <v>0</v>
      </c>
      <c r="N44" s="31" t="n">
        <v>0</v>
      </c>
      <c r="O44" s="31" t="n">
        <v>0</v>
      </c>
      <c r="P44" s="31" t="n">
        <v>0</v>
      </c>
      <c r="Q44" s="38" t="n">
        <f aca="false">SUM(E44:P44)</f>
        <v>0</v>
      </c>
    </row>
    <row r="45" customFormat="false" ht="19.5" hidden="false" customHeight="true" outlineLevel="0" collapsed="false">
      <c r="B45" s="44" t="s">
        <v>350</v>
      </c>
      <c r="C45" s="45"/>
      <c r="D45" s="46" t="n">
        <f aca="false">D43-D44</f>
        <v>930172.87</v>
      </c>
      <c r="E45" s="46" t="n">
        <f aca="false">E43-E44</f>
        <v>1459003.7</v>
      </c>
      <c r="F45" s="46" t="n">
        <f aca="false">F43-F44</f>
        <v>1790021.11</v>
      </c>
      <c r="G45" s="46" t="n">
        <f aca="false">G43-G44</f>
        <v>1789466.13</v>
      </c>
      <c r="H45" s="46" t="n">
        <f aca="false">H43-H44</f>
        <v>1578931.88</v>
      </c>
      <c r="I45" s="46" t="n">
        <f aca="false">I43-I44</f>
        <v>2154295.28</v>
      </c>
      <c r="J45" s="46" t="n">
        <f aca="false">J43-J44</f>
        <v>2405216.52</v>
      </c>
      <c r="K45" s="46" t="n">
        <f aca="false">K43-K44</f>
        <v>1908155.72</v>
      </c>
      <c r="L45" s="46" t="n">
        <f aca="false">L43-L44</f>
        <v>325848.8</v>
      </c>
      <c r="M45" s="46" t="n">
        <f aca="false">M43-M44</f>
        <v>1081132.77</v>
      </c>
      <c r="N45" s="46" t="n">
        <f aca="false">N43-N44</f>
        <v>1831883.26</v>
      </c>
      <c r="O45" s="46" t="n">
        <f aca="false">O43-O44</f>
        <v>1606300.08</v>
      </c>
      <c r="P45" s="46" t="n">
        <f aca="false">P43-P44</f>
        <v>1659744.88</v>
      </c>
      <c r="Q45" s="46" t="n">
        <f aca="false">SUM(E45:P45)</f>
        <v>19590000.13</v>
      </c>
    </row>
    <row r="47" customFormat="false" ht="15" hidden="false" customHeight="false" outlineLevel="0" collapsed="false">
      <c r="B47" s="34" t="s">
        <v>351</v>
      </c>
      <c r="D47" s="23" t="n">
        <f aca="false">ROUND(ABS(D32-CPC!D60)+ABS(D27-CPC!D27),2)</f>
        <v>0</v>
      </c>
      <c r="E47" s="23" t="n">
        <f aca="false">ROUND(ABS(E32-CPC!E60)+ABS(E27-CPC!E27),2)</f>
        <v>0</v>
      </c>
      <c r="F47" s="23" t="n">
        <f aca="false">ROUND(ABS(F32-CPC!F60)+ABS(F27-CPC!F27),2)</f>
        <v>0</v>
      </c>
      <c r="G47" s="23" t="n">
        <f aca="false">ROUND(ABS(G32-CPC!G60)+ABS(G27-CPC!G27),2)</f>
        <v>0</v>
      </c>
      <c r="H47" s="23" t="n">
        <f aca="false">ROUND(ABS(H32-CPC!H60)+ABS(H27-CPC!H27),2)</f>
        <v>0</v>
      </c>
      <c r="I47" s="23" t="n">
        <f aca="false">ROUND(ABS(I32-CPC!I60)+ABS(I27-CPC!I27),2)</f>
        <v>0</v>
      </c>
      <c r="J47" s="23" t="n">
        <f aca="false">ROUND(ABS(J32-CPC!J60)+ABS(J27-CPC!J27),2)</f>
        <v>0</v>
      </c>
      <c r="K47" s="23" t="n">
        <f aca="false">ROUND(ABS(K32-CPC!K60)+ABS(K27-CPC!K27),2)</f>
        <v>0</v>
      </c>
      <c r="L47" s="23" t="n">
        <f aca="false">ROUND(ABS(L32-CPC!L60)+ABS(L27-CPC!L27),2)</f>
        <v>0</v>
      </c>
      <c r="M47" s="23" t="n">
        <f aca="false">ROUND(ABS(M32-CPC!M60)+ABS(M27-CPC!M27),2)</f>
        <v>0</v>
      </c>
      <c r="N47" s="23" t="n">
        <f aca="false">ROUND(ABS(N32-CPC!N60)+ABS(N27-CPC!N27),2)</f>
        <v>0</v>
      </c>
      <c r="O47" s="23" t="n">
        <f aca="false">ROUND(ABS(O32-CPC!O60)+ABS(O27-CPC!O27),2)</f>
        <v>0</v>
      </c>
      <c r="P47" s="23" t="n">
        <f aca="false">ROUND(ABS(P32-CPC!P60)+ABS(P27-CPC!P27),2)</f>
        <v>0</v>
      </c>
      <c r="Q47" s="23" t="n">
        <f aca="false">ROUND(ABS(Q32-CPC!Q60)+ABS(Q27-CPC!Q27),2)</f>
        <v>0</v>
      </c>
    </row>
    <row r="49" customFormat="false" ht="15" hidden="false" customHeight="false" outlineLevel="0" collapsed="false">
      <c r="B49" s="4" t="s">
        <v>352</v>
      </c>
    </row>
    <row r="50" customFormat="false" ht="15" hidden="false" customHeight="false" outlineLevel="0" collapsed="false">
      <c r="B50" s="4" t="s">
        <v>353</v>
      </c>
    </row>
    <row r="51" customFormat="false" ht="15" hidden="false" customHeight="false" outlineLevel="0" collapsed="false">
      <c r="B51" s="4" t="s">
        <v>354</v>
      </c>
    </row>
    <row r="52" customFormat="false" ht="15" hidden="false" customHeight="false" outlineLevel="0" collapsed="false">
      <c r="B52" s="4" t="s">
        <v>355</v>
      </c>
    </row>
  </sheetData>
  <mergeCells count="5">
    <mergeCell ref="B1:Q1"/>
    <mergeCell ref="B2:Q2"/>
    <mergeCell ref="B3:Q3"/>
    <mergeCell ref="B7:Q7"/>
    <mergeCell ref="B33:Q33"/>
  </mergeCells>
  <conditionalFormatting sqref="D47:Q47">
    <cfRule type="expression" priority="2" aboveAverage="0" equalAverage="0" bottom="0" percent="0" rank="0" text="" dxfId="0">
      <formula>ABS(D47)&lt;0.01</formula>
    </cfRule>
    <cfRule type="expression" priority="3" aboveAverage="0" equalAverage="0" bottom="0" percent="0" rank="0" text="" dxfId="1">
      <formula>ABS(D47)&gt;=0.01</formula>
    </cfRule>
  </conditionalFormatting>
  <hyperlinks>
    <hyperlink ref="B4" location="'Accueil'!A1" display="← Accueil"/>
  </hyperlinks>
  <printOptions headings="false" gridLines="false" gridLinesSet="true" horizontalCentered="true" verticalCentered="false"/>
  <pageMargins left="0.4" right="0.4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&amp;L&amp;"Calibri,Bold"AéroAtlas Composites SARL&amp;CExercice 2025 — Arrêté au 31/12/2025&amp;RResp. : Karim El Fassi (DAF)</oddHeader>
    <oddFooter>&amp;L&amp;A&amp;C&amp;"Calibri,Bold"Document confidentiel&amp;RPage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1:V8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746093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16" min="4" style="0" width="18.51"/>
    <col collapsed="false" customWidth="true" hidden="false" outlineLevel="0" max="17" min="17" style="0" width="21"/>
    <col collapsed="false" customWidth="true" hidden="false" outlineLevel="0" max="18" min="18" style="0" width="3"/>
    <col collapsed="false" customWidth="true" hidden="false" outlineLevel="0" max="21" min="19" style="0" width="11"/>
    <col collapsed="false" customWidth="true" hidden="false" outlineLevel="0" max="22" min="22" style="0" width="16"/>
  </cols>
  <sheetData>
    <row r="1" customFormat="false" ht="33.75" hidden="false" customHeight="true" outlineLevel="0" collapsed="false">
      <c r="B1" s="1" t="s">
        <v>356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2" t="str">
        <f aca="false">"Société : "&amp;Accueil!$C$8&amp;"     │     Exercice : "&amp;Accueil!$C$11&amp;"     │     Date d'arrêté : "&amp;Accueil!$C$12&amp;"     │     Responsable : "&amp;Accueil!$C$15</f>
        <v>Société : AéroAtlas Composites SARL     │     Exercice : 2025     │     Date d'arrêté : 31/12/2025     │     Responsable : Karim El Fassi (DAF)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3.75" hidden="false" customHeight="true" outlineLevel="0" collapsed="false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18" hidden="false" customHeight="true" outlineLevel="0" collapsed="false">
      <c r="B4" s="20" t="s">
        <v>60</v>
      </c>
      <c r="C4" s="4" t="s">
        <v>357</v>
      </c>
    </row>
    <row r="5" customFormat="false" ht="30" hidden="false" customHeight="true" outlineLevel="0" collapsed="false">
      <c r="B5" s="47" t="s">
        <v>358</v>
      </c>
      <c r="C5" s="48" t="s">
        <v>77</v>
      </c>
      <c r="D5" s="49" t="n">
        <f aca="false">MATCH($C$5,$E$42:$P$42,0)</f>
        <v>12</v>
      </c>
      <c r="G5" s="50" t="s">
        <v>359</v>
      </c>
      <c r="H5" s="51" t="n">
        <v>0.7</v>
      </c>
      <c r="I5" s="50" t="s">
        <v>360</v>
      </c>
      <c r="J5" s="51" t="n">
        <v>0.2</v>
      </c>
      <c r="K5" s="50" t="s">
        <v>361</v>
      </c>
      <c r="L5" s="52" t="n">
        <v>30</v>
      </c>
      <c r="M5" s="4" t="s">
        <v>362</v>
      </c>
    </row>
    <row r="7" customFormat="false" ht="24" hidden="false" customHeight="true" outlineLevel="0" collapsed="false">
      <c r="B7" s="6" t="s">
        <v>363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customFormat="false" ht="30" hidden="false" customHeight="true" outlineLevel="0" collapsed="false">
      <c r="B8" s="12" t="s">
        <v>364</v>
      </c>
      <c r="C8" s="12" t="s">
        <v>365</v>
      </c>
      <c r="D8" s="12" t="s">
        <v>366</v>
      </c>
      <c r="E8" s="12" t="s">
        <v>66</v>
      </c>
      <c r="F8" s="12" t="s">
        <v>67</v>
      </c>
      <c r="G8" s="12" t="s">
        <v>68</v>
      </c>
      <c r="H8" s="12" t="s">
        <v>69</v>
      </c>
      <c r="I8" s="12" t="s">
        <v>70</v>
      </c>
      <c r="J8" s="12" t="s">
        <v>71</v>
      </c>
      <c r="K8" s="12" t="s">
        <v>72</v>
      </c>
      <c r="L8" s="12" t="s">
        <v>73</v>
      </c>
      <c r="M8" s="12" t="s">
        <v>74</v>
      </c>
      <c r="N8" s="12" t="s">
        <v>75</v>
      </c>
      <c r="O8" s="12" t="s">
        <v>76</v>
      </c>
      <c r="P8" s="12" t="s">
        <v>77</v>
      </c>
      <c r="Q8" s="12" t="s">
        <v>367</v>
      </c>
    </row>
    <row r="9" customFormat="false" ht="15" hidden="false" customHeight="false" outlineLevel="0" collapsed="false">
      <c r="B9" s="19" t="s">
        <v>368</v>
      </c>
      <c r="C9" s="35" t="s">
        <v>369</v>
      </c>
      <c r="D9" s="36" t="n">
        <f aca="false">CPC!D11</f>
        <v>11500000</v>
      </c>
      <c r="E9" s="37" t="n">
        <f aca="false">CPC!E11</f>
        <v>10800000</v>
      </c>
      <c r="F9" s="37" t="n">
        <f aca="false">CPC!F11</f>
        <v>11200000</v>
      </c>
      <c r="G9" s="37" t="n">
        <f aca="false">CPC!G11</f>
        <v>12400000</v>
      </c>
      <c r="H9" s="37" t="n">
        <f aca="false">CPC!H11</f>
        <v>11900000</v>
      </c>
      <c r="I9" s="37" t="n">
        <f aca="false">CPC!I11</f>
        <v>12600000</v>
      </c>
      <c r="J9" s="37" t="n">
        <f aca="false">CPC!J11</f>
        <v>12800000</v>
      </c>
      <c r="K9" s="37" t="n">
        <f aca="false">CPC!K11</f>
        <v>11600000</v>
      </c>
      <c r="L9" s="37" t="n">
        <f aca="false">CPC!L11</f>
        <v>7400000</v>
      </c>
      <c r="M9" s="37" t="n">
        <f aca="false">CPC!M11</f>
        <v>12100000</v>
      </c>
      <c r="N9" s="37" t="n">
        <f aca="false">CPC!N11</f>
        <v>12800000</v>
      </c>
      <c r="O9" s="37" t="n">
        <f aca="false">CPC!O11</f>
        <v>12300000</v>
      </c>
      <c r="P9" s="37" t="n">
        <f aca="false">CPC!P11</f>
        <v>14100000</v>
      </c>
      <c r="Q9" s="37" t="n">
        <f aca="false">SUM(E9:P9)</f>
        <v>142000000</v>
      </c>
    </row>
    <row r="10" customFormat="false" ht="15" hidden="false" customHeight="false" outlineLevel="0" collapsed="false">
      <c r="B10" s="19" t="s">
        <v>370</v>
      </c>
      <c r="C10" s="35" t="s">
        <v>371</v>
      </c>
      <c r="D10" s="53" t="s">
        <v>372</v>
      </c>
      <c r="E10" s="54" t="n">
        <f aca="false">IFERROR(E9/D9-1,"—")</f>
        <v>-0.0608695652173913</v>
      </c>
      <c r="F10" s="54" t="n">
        <f aca="false">IFERROR(F9/E9-1,"—")</f>
        <v>0.037037037037037</v>
      </c>
      <c r="G10" s="54" t="n">
        <f aca="false">IFERROR(G9/F9-1,"—")</f>
        <v>0.107142857142857</v>
      </c>
      <c r="H10" s="54" t="n">
        <f aca="false">IFERROR(H9/G9-1,"—")</f>
        <v>-0.0403225806451613</v>
      </c>
      <c r="I10" s="54" t="n">
        <f aca="false">IFERROR(I9/H9-1,"—")</f>
        <v>0.0588235294117647</v>
      </c>
      <c r="J10" s="54" t="n">
        <f aca="false">IFERROR(J9/I9-1,"—")</f>
        <v>0.0158730158730158</v>
      </c>
      <c r="K10" s="54" t="n">
        <f aca="false">IFERROR(K9/J9-1,"—")</f>
        <v>-0.09375</v>
      </c>
      <c r="L10" s="54" t="n">
        <f aca="false">IFERROR(L9/K9-1,"—")</f>
        <v>-0.362068965517241</v>
      </c>
      <c r="M10" s="54" t="n">
        <f aca="false">IFERROR(M9/L9-1,"—")</f>
        <v>0.635135135135135</v>
      </c>
      <c r="N10" s="54" t="n">
        <f aca="false">IFERROR(N9/M9-1,"—")</f>
        <v>0.0578512396694215</v>
      </c>
      <c r="O10" s="54" t="n">
        <f aca="false">IFERROR(O9/N9-1,"—")</f>
        <v>-0.0390625</v>
      </c>
      <c r="P10" s="54" t="n">
        <f aca="false">IFERROR(P9/O9-1,"—")</f>
        <v>0.146341463414634</v>
      </c>
      <c r="Q10" s="55" t="s">
        <v>372</v>
      </c>
    </row>
    <row r="11" customFormat="false" ht="15" hidden="false" customHeight="false" outlineLevel="0" collapsed="false">
      <c r="B11" s="19" t="s">
        <v>373</v>
      </c>
      <c r="C11" s="35" t="s">
        <v>369</v>
      </c>
      <c r="D11" s="36" t="n">
        <f aca="false">CPC!D27</f>
        <v>503001.5</v>
      </c>
      <c r="E11" s="37" t="n">
        <f aca="false">CPC!E27</f>
        <v>1111452.89</v>
      </c>
      <c r="F11" s="37" t="n">
        <f aca="false">CPC!F27</f>
        <v>1572441.61</v>
      </c>
      <c r="G11" s="37" t="n">
        <f aca="false">CPC!G27</f>
        <v>2298955.08</v>
      </c>
      <c r="H11" s="37" t="n">
        <f aca="false">CPC!H27</f>
        <v>1272562.42</v>
      </c>
      <c r="I11" s="37" t="n">
        <f aca="false">CPC!I27</f>
        <v>1989100.61</v>
      </c>
      <c r="J11" s="37" t="n">
        <f aca="false">CPC!J27</f>
        <v>2269994.2</v>
      </c>
      <c r="K11" s="37" t="n">
        <f aca="false">CPC!K27</f>
        <v>1718104.07</v>
      </c>
      <c r="L11" s="37" t="n">
        <f aca="false">CPC!L27</f>
        <v>-164627.83</v>
      </c>
      <c r="M11" s="37" t="n">
        <f aca="false">CPC!M27</f>
        <v>866783.030000001</v>
      </c>
      <c r="N11" s="37" t="n">
        <f aca="false">CPC!N27</f>
        <v>1667251.9</v>
      </c>
      <c r="O11" s="37" t="n">
        <f aca="false">CPC!O27</f>
        <v>1547031.02</v>
      </c>
      <c r="P11" s="37" t="n">
        <f aca="false">CPC!P27</f>
        <v>1330951.19</v>
      </c>
      <c r="Q11" s="37" t="n">
        <f aca="false">SUM(E11:P11)</f>
        <v>17480000.19</v>
      </c>
    </row>
    <row r="12" customFormat="false" ht="15" hidden="false" customHeight="false" outlineLevel="0" collapsed="false">
      <c r="B12" s="19" t="s">
        <v>374</v>
      </c>
      <c r="C12" s="35" t="s">
        <v>371</v>
      </c>
      <c r="D12" s="53" t="s">
        <v>372</v>
      </c>
      <c r="E12" s="54" t="n">
        <f aca="false">IFERROR((E11-D11)/ABS(D11),"—")</f>
        <v>1.20964130325655</v>
      </c>
      <c r="F12" s="54" t="n">
        <f aca="false">IFERROR((F11-E11)/ABS(E11),"—")</f>
        <v>0.414762266711996</v>
      </c>
      <c r="G12" s="54" t="n">
        <f aca="false">IFERROR((G11-F11)/ABS(F11),"—")</f>
        <v>0.462028901664591</v>
      </c>
      <c r="H12" s="54" t="n">
        <f aca="false">IFERROR((H11-G11)/ABS(G11),"—")</f>
        <v>-0.446460511094459</v>
      </c>
      <c r="I12" s="54" t="n">
        <f aca="false">IFERROR((I11-H11)/ABS(H11),"—")</f>
        <v>0.563067224631702</v>
      </c>
      <c r="J12" s="54" t="n">
        <f aca="false">IFERROR((J11-I11)/ABS(I11),"—")</f>
        <v>0.14121638120658</v>
      </c>
      <c r="K12" s="54" t="n">
        <f aca="false">IFERROR((K11-J11)/ABS(J11),"—")</f>
        <v>-0.243124026484296</v>
      </c>
      <c r="L12" s="54" t="n">
        <f aca="false">IFERROR((L11-K11)/ABS(K11),"—")</f>
        <v>-1.09581947501003</v>
      </c>
      <c r="M12" s="54" t="n">
        <f aca="false">IFERROR((M11-L11)/ABS(L11),"—")</f>
        <v>6.26510633104986</v>
      </c>
      <c r="N12" s="54" t="n">
        <f aca="false">IFERROR((N11-M11)/ABS(M11),"—")</f>
        <v>0.923493933654883</v>
      </c>
      <c r="O12" s="54" t="n">
        <f aca="false">IFERROR((O11-N11)/ABS(N11),"—")</f>
        <v>-0.0721072082748868</v>
      </c>
      <c r="P12" s="54" t="n">
        <f aca="false">IFERROR((P11-O11)/ABS(O11),"—")</f>
        <v>-0.139673883203711</v>
      </c>
      <c r="Q12" s="55" t="s">
        <v>372</v>
      </c>
    </row>
    <row r="13" customFormat="false" ht="15" hidden="false" customHeight="false" outlineLevel="0" collapsed="false">
      <c r="B13" s="19" t="s">
        <v>375</v>
      </c>
      <c r="C13" s="35" t="s">
        <v>371</v>
      </c>
      <c r="D13" s="56" t="n">
        <f aca="false">IFERROR(D11/D9,"—")</f>
        <v>0.0437392608695652</v>
      </c>
      <c r="E13" s="54" t="n">
        <f aca="false">IFERROR(E11/E9,"—")</f>
        <v>0.10291230462963</v>
      </c>
      <c r="F13" s="54" t="n">
        <f aca="false">IFERROR(F11/F9,"—")</f>
        <v>0.140396572321429</v>
      </c>
      <c r="G13" s="54" t="n">
        <f aca="false">IFERROR(G11/G9,"—")</f>
        <v>0.185399603225806</v>
      </c>
      <c r="H13" s="54" t="n">
        <f aca="false">IFERROR(H11/H9,"—")</f>
        <v>0.106938018487395</v>
      </c>
      <c r="I13" s="54" t="n">
        <f aca="false">IFERROR(I11/I9,"—")</f>
        <v>0.157865127777778</v>
      </c>
      <c r="J13" s="54" t="n">
        <f aca="false">IFERROR(J11/J9,"—")</f>
        <v>0.177343296875</v>
      </c>
      <c r="K13" s="54" t="n">
        <f aca="false">IFERROR(K11/K9,"—")</f>
        <v>0.148112419827586</v>
      </c>
      <c r="L13" s="54" t="n">
        <f aca="false">IFERROR(L11/L9,"—")</f>
        <v>-0.0222470040540541</v>
      </c>
      <c r="M13" s="54" t="n">
        <f aca="false">IFERROR(M11/M9,"—")</f>
        <v>0.0716349611570249</v>
      </c>
      <c r="N13" s="54" t="n">
        <f aca="false">IFERROR(N11/N9,"—")</f>
        <v>0.1302540546875</v>
      </c>
      <c r="O13" s="54" t="n">
        <f aca="false">IFERROR(O11/O9,"—")</f>
        <v>0.125774879674797</v>
      </c>
      <c r="P13" s="54" t="n">
        <f aca="false">IFERROR(P11/P9,"—")</f>
        <v>0.0943937014184398</v>
      </c>
      <c r="Q13" s="54" t="n">
        <f aca="false">IFERROR(Q11/Q9,"—")</f>
        <v>0.123098592887324</v>
      </c>
    </row>
    <row r="14" customFormat="false" ht="15" hidden="false" customHeight="false" outlineLevel="0" collapsed="false">
      <c r="B14" s="13" t="s">
        <v>376</v>
      </c>
      <c r="C14" s="35" t="s">
        <v>377</v>
      </c>
      <c r="D14" s="53" t="s">
        <v>372</v>
      </c>
      <c r="E14" s="57" t="n">
        <f aca="false">IFERROR(IF(OR(ABS(E10)&lt;0.02,D11&lt;=0),"n.s.",ROUND(E12/E10,1)),"—")</f>
        <v>-19.9</v>
      </c>
      <c r="F14" s="57" t="n">
        <f aca="false">IFERROR(IF(OR(ABS(F10)&lt;0.02,E11&lt;=0),"n.s.",ROUND(F12/F10,1)),"—")</f>
        <v>11.2</v>
      </c>
      <c r="G14" s="57" t="n">
        <f aca="false">IFERROR(IF(OR(ABS(G10)&lt;0.02,F11&lt;=0),"n.s.",ROUND(G12/G10,1)),"—")</f>
        <v>4.3</v>
      </c>
      <c r="H14" s="57" t="n">
        <f aca="false">IFERROR(IF(OR(ABS(H10)&lt;0.02,G11&lt;=0),"n.s.",ROUND(H12/H10,1)),"—")</f>
        <v>11.1</v>
      </c>
      <c r="I14" s="57" t="n">
        <f aca="false">IFERROR(IF(OR(ABS(I10)&lt;0.02,H11&lt;=0),"n.s.",ROUND(I12/I10,1)),"—")</f>
        <v>9.6</v>
      </c>
      <c r="J14" s="57" t="str">
        <f aca="false">IFERROR(IF(OR(ABS(J10)&lt;0.02,I11&lt;=0),"n.s.",ROUND(J12/J10,1)),"—")</f>
        <v>n.s.</v>
      </c>
      <c r="K14" s="57" t="n">
        <f aca="false">IFERROR(IF(OR(ABS(K10)&lt;0.02,J11&lt;=0),"n.s.",ROUND(K12/K10,1)),"—")</f>
        <v>2.6</v>
      </c>
      <c r="L14" s="57" t="n">
        <f aca="false">IFERROR(IF(OR(ABS(L10)&lt;0.02,K11&lt;=0),"n.s.",ROUND(L12/L10,1)),"—")</f>
        <v>3</v>
      </c>
      <c r="M14" s="57" t="str">
        <f aca="false">IFERROR(IF(OR(ABS(M10)&lt;0.02,L11&lt;=0),"n.s.",ROUND(M12/M10,1)),"—")</f>
        <v>n.s.</v>
      </c>
      <c r="N14" s="57" t="n">
        <f aca="false">IFERROR(IF(OR(ABS(N10)&lt;0.02,M11&lt;=0),"n.s.",ROUND(N12/N10,1)),"—")</f>
        <v>16</v>
      </c>
      <c r="O14" s="57" t="n">
        <f aca="false">IFERROR(IF(OR(ABS(O10)&lt;0.02,N11&lt;=0),"n.s.",ROUND(O12/O10,1)),"—")</f>
        <v>1.8</v>
      </c>
      <c r="P14" s="57" t="n">
        <f aca="false">IFERROR(IF(OR(ABS(P10)&lt;0.02,O11&lt;=0),"n.s.",ROUND(P12/P10,1)),"—")</f>
        <v>-1</v>
      </c>
      <c r="Q14" s="55" t="s">
        <v>372</v>
      </c>
    </row>
    <row r="15" customFormat="false" ht="30" hidden="false" customHeight="true" outlineLevel="0" collapsed="false">
      <c r="B15" s="13" t="s">
        <v>378</v>
      </c>
      <c r="C15" s="35"/>
      <c r="D15" s="53" t="s">
        <v>372</v>
      </c>
      <c r="E15" s="58" t="str">
        <f aca="false">IF(ISNUMBER(E14),IF(E10&gt;=0,IF(E14&gt;1.2,"Levier fort",IF(E14&gt;=0.8,"Proportionnel",IF(E14&gt;0,"Marge érodée","REX stagne / sens contraire"))),IF(E14&gt;1.2,"Chute amplifiée",IF(E14&gt;=0.8,"Proportionnel",IF(E14&gt;=0,"Baisse amortie","REX résiste")))),IF(E14="n.s.","n.s.","—"))</f>
        <v>REX résiste</v>
      </c>
      <c r="F15" s="58" t="str">
        <f aca="false">IF(ISNUMBER(F14),IF(F10&gt;=0,IF(F14&gt;1.2,"Levier fort",IF(F14&gt;=0.8,"Proportionnel",IF(F14&gt;0,"Marge érodée","REX stagne / sens contraire"))),IF(F14&gt;1.2,"Chute amplifiée",IF(F14&gt;=0.8,"Proportionnel",IF(F14&gt;=0,"Baisse amortie","REX résiste")))),IF(F14="n.s.","n.s.","—"))</f>
        <v>Levier fort</v>
      </c>
      <c r="G15" s="58" t="str">
        <f aca="false">IF(ISNUMBER(G14),IF(G10&gt;=0,IF(G14&gt;1.2,"Levier fort",IF(G14&gt;=0.8,"Proportionnel",IF(G14&gt;0,"Marge érodée","REX stagne / sens contraire"))),IF(G14&gt;1.2,"Chute amplifiée",IF(G14&gt;=0.8,"Proportionnel",IF(G14&gt;=0,"Baisse amortie","REX résiste")))),IF(G14="n.s.","n.s.","—"))</f>
        <v>Levier fort</v>
      </c>
      <c r="H15" s="58" t="str">
        <f aca="false">IF(ISNUMBER(H14),IF(H10&gt;=0,IF(H14&gt;1.2,"Levier fort",IF(H14&gt;=0.8,"Proportionnel",IF(H14&gt;0,"Marge érodée","REX stagne / sens contraire"))),IF(H14&gt;1.2,"Chute amplifiée",IF(H14&gt;=0.8,"Proportionnel",IF(H14&gt;=0,"Baisse amortie","REX résiste")))),IF(H14="n.s.","n.s.","—"))</f>
        <v>Chute amplifiée</v>
      </c>
      <c r="I15" s="58" t="str">
        <f aca="false">IF(ISNUMBER(I14),IF(I10&gt;=0,IF(I14&gt;1.2,"Levier fort",IF(I14&gt;=0.8,"Proportionnel",IF(I14&gt;0,"Marge érodée","REX stagne / sens contraire"))),IF(I14&gt;1.2,"Chute amplifiée",IF(I14&gt;=0.8,"Proportionnel",IF(I14&gt;=0,"Baisse amortie","REX résiste")))),IF(I14="n.s.","n.s.","—"))</f>
        <v>Levier fort</v>
      </c>
      <c r="J15" s="58" t="str">
        <f aca="false">IF(ISNUMBER(J14),IF(J10&gt;=0,IF(J14&gt;1.2,"Levier fort",IF(J14&gt;=0.8,"Proportionnel",IF(J14&gt;0,"Marge érodée","REX stagne / sens contraire"))),IF(J14&gt;1.2,"Chute amplifiée",IF(J14&gt;=0.8,"Proportionnel",IF(J14&gt;=0,"Baisse amortie","REX résiste")))),IF(J14="n.s.","n.s.","—"))</f>
        <v>n.s.</v>
      </c>
      <c r="K15" s="58" t="str">
        <f aca="false">IF(ISNUMBER(K14),IF(K10&gt;=0,IF(K14&gt;1.2,"Levier fort",IF(K14&gt;=0.8,"Proportionnel",IF(K14&gt;0,"Marge érodée","REX stagne / sens contraire"))),IF(K14&gt;1.2,"Chute amplifiée",IF(K14&gt;=0.8,"Proportionnel",IF(K14&gt;=0,"Baisse amortie","REX résiste")))),IF(K14="n.s.","n.s.","—"))</f>
        <v>Chute amplifiée</v>
      </c>
      <c r="L15" s="58" t="str">
        <f aca="false">IF(ISNUMBER(L14),IF(L10&gt;=0,IF(L14&gt;1.2,"Levier fort",IF(L14&gt;=0.8,"Proportionnel",IF(L14&gt;0,"Marge érodée","REX stagne / sens contraire"))),IF(L14&gt;1.2,"Chute amplifiée",IF(L14&gt;=0.8,"Proportionnel",IF(L14&gt;=0,"Baisse amortie","REX résiste")))),IF(L14="n.s.","n.s.","—"))</f>
        <v>Chute amplifiée</v>
      </c>
      <c r="M15" s="58" t="str">
        <f aca="false">IF(ISNUMBER(M14),IF(M10&gt;=0,IF(M14&gt;1.2,"Levier fort",IF(M14&gt;=0.8,"Proportionnel",IF(M14&gt;0,"Marge érodée","REX stagne / sens contraire"))),IF(M14&gt;1.2,"Chute amplifiée",IF(M14&gt;=0.8,"Proportionnel",IF(M14&gt;=0,"Baisse amortie","REX résiste")))),IF(M14="n.s.","n.s.","—"))</f>
        <v>n.s.</v>
      </c>
      <c r="N15" s="58" t="str">
        <f aca="false">IF(ISNUMBER(N14),IF(N10&gt;=0,IF(N14&gt;1.2,"Levier fort",IF(N14&gt;=0.8,"Proportionnel",IF(N14&gt;0,"Marge érodée","REX stagne / sens contraire"))),IF(N14&gt;1.2,"Chute amplifiée",IF(N14&gt;=0.8,"Proportionnel",IF(N14&gt;=0,"Baisse amortie","REX résiste")))),IF(N14="n.s.","n.s.","—"))</f>
        <v>Levier fort</v>
      </c>
      <c r="O15" s="58" t="str">
        <f aca="false">IF(ISNUMBER(O14),IF(O10&gt;=0,IF(O14&gt;1.2,"Levier fort",IF(O14&gt;=0.8,"Proportionnel",IF(O14&gt;0,"Marge érodée","REX stagne / sens contraire"))),IF(O14&gt;1.2,"Chute amplifiée",IF(O14&gt;=0.8,"Proportionnel",IF(O14&gt;=0,"Baisse amortie","REX résiste")))),IF(O14="n.s.","n.s.","—"))</f>
        <v>Chute amplifiée</v>
      </c>
      <c r="P15" s="58" t="str">
        <f aca="false">IF(ISNUMBER(P14),IF(P10&gt;=0,IF(P14&gt;1.2,"Levier fort",IF(P14&gt;=0.8,"Proportionnel",IF(P14&gt;0,"Marge érodée","REX stagne / sens contraire"))),IF(P14&gt;1.2,"Chute amplifiée",IF(P14&gt;=0.8,"Proportionnel",IF(P14&gt;=0,"Baisse amortie","REX résiste")))),IF(P14="n.s.","n.s.","—"))</f>
        <v>REX stagne / sens contraire</v>
      </c>
      <c r="Q15" s="55" t="s">
        <v>372</v>
      </c>
    </row>
    <row r="16" customFormat="false" ht="18" hidden="false" customHeight="true" outlineLevel="0" collapsed="false">
      <c r="B16" s="59" t="s">
        <v>379</v>
      </c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</row>
    <row r="17" customFormat="false" ht="18" hidden="false" customHeight="true" outlineLevel="0" collapsed="false">
      <c r="B17" s="59" t="s">
        <v>380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</row>
    <row r="18" customFormat="false" ht="18" hidden="false" customHeight="true" outlineLevel="0" collapsed="false">
      <c r="B18" s="59" t="s">
        <v>381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</row>
    <row r="20" customFormat="false" ht="24" hidden="false" customHeight="true" outlineLevel="0" collapsed="false">
      <c r="B20" s="6" t="s">
        <v>382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S20" s="60" t="s">
        <v>383</v>
      </c>
    </row>
    <row r="21" customFormat="false" ht="33.75" hidden="false" customHeight="true" outlineLevel="0" collapsed="false">
      <c r="B21" s="12" t="s">
        <v>384</v>
      </c>
      <c r="C21" s="12" t="s">
        <v>385</v>
      </c>
      <c r="D21" s="12"/>
      <c r="E21" s="12"/>
      <c r="F21" s="12" t="s">
        <v>386</v>
      </c>
      <c r="G21" s="12" t="s">
        <v>387</v>
      </c>
      <c r="H21" s="12" t="s">
        <v>388</v>
      </c>
      <c r="I21" s="12" t="s">
        <v>389</v>
      </c>
      <c r="J21" s="12" t="s">
        <v>390</v>
      </c>
      <c r="K21" s="12" t="s">
        <v>391</v>
      </c>
      <c r="L21" s="12"/>
      <c r="M21" s="12"/>
      <c r="N21" s="12"/>
      <c r="O21" s="12" t="s">
        <v>392</v>
      </c>
      <c r="P21" s="12"/>
      <c r="Q21" s="12"/>
      <c r="S21" s="61" t="s">
        <v>393</v>
      </c>
      <c r="T21" s="61" t="s">
        <v>394</v>
      </c>
      <c r="U21" s="61" t="s">
        <v>395</v>
      </c>
      <c r="V21" s="61" t="s">
        <v>396</v>
      </c>
    </row>
    <row r="22" customFormat="false" ht="57.75" hidden="false" customHeight="true" outlineLevel="0" collapsed="false">
      <c r="B22" s="13" t="s">
        <v>397</v>
      </c>
      <c r="C22" s="62" t="s">
        <v>398</v>
      </c>
      <c r="D22" s="62"/>
      <c r="E22" s="62"/>
      <c r="F22" s="63" t="n">
        <f aca="false">INDEX($E$68:$P$68,$D$5)</f>
        <v>0.294686327659575</v>
      </c>
      <c r="G22" s="64" t="str">
        <f aca="false">"≤ "&amp;FIXED($S22*100,1)&amp;" %"</f>
        <v>≤ 28.0 %</v>
      </c>
      <c r="H22" s="65" t="str">
        <f aca="false">FIXED($S22*100,1)&amp;" %"&amp;" à "&amp;FIXED($T22*100,1)&amp;" %"</f>
        <v>28.0 % à 35.0 %</v>
      </c>
      <c r="I22" s="66" t="str">
        <f aca="false">"&gt; "&amp;FIXED($T22*100,1)&amp;" %"</f>
        <v>&gt; 35.0 %</v>
      </c>
      <c r="J22" s="67" t="str">
        <f aca="false">IF(ISNUMBER($F22),IF($F22&lt;=$S22,"● Conforme",IF($F22&lt;=$T22,"● Vigilance","● Alerte")),"—")</f>
        <v>● Vigilance</v>
      </c>
      <c r="K22" s="68" t="str">
        <f aca="false">IF(OR(NOT(ISNUMBER($F22)),$J22="—"),"—",IF($J22="● Conforme","Ratio "&amp;FIXED(($F22)*100,1)&amp;" %"&amp;" ≤ seuil "&amp;FIXED(($S22)*100,1)&amp;" %"&amp;" → productivité conforme au secteur → maintenir la flexibilité (intérim, heures sup.).","Écart +"&amp;FIXED(ABS($F22-$S22)*100,1)&amp;" pts"&amp;" vs seuil "&amp;FIXED(($S22)*100,1)&amp;" %"&amp;" → volume du mois insuffisant pour absorber une masse salariale fixe → revenir au seuil = "&amp;FIXED((($F22-$S22)*INDEX($E$44:$P$44,$D$5))/1000,0)&amp;" kMAD"&amp;"/mois (intérim, heures sup., polyvalence)."))</f>
        <v>Écart +1.5 pts vs seuil 28.0 % → volume du mois insuffisant pour absorber une masse salariale fixe → revenir au seuil = 207 kMAD/mois (intérim, heures sup., polyvalence).</v>
      </c>
      <c r="L22" s="68"/>
      <c r="M22" s="68"/>
      <c r="N22" s="68"/>
      <c r="O22" s="69" t="str">
        <f aca="false">IF(NOT(ISNUMBER($F22)),"—",IF($J22="● Conforme","Maintenir : piloter l'intérim à moins de 5 % des effectifs.","Geler l'intérim, annualiser le temps de travail, lisser la charge sur les mois creux."))</f>
        <v>Geler l'intérim, annualiser le temps de travail, lisser la charge sur les mois creux.</v>
      </c>
      <c r="P22" s="69"/>
      <c r="Q22" s="69"/>
      <c r="S22" s="70" t="n">
        <v>0.28</v>
      </c>
      <c r="T22" s="70" t="n">
        <v>0.35</v>
      </c>
      <c r="U22" s="70" t="s">
        <v>372</v>
      </c>
      <c r="V22" s="71" t="s">
        <v>399</v>
      </c>
    </row>
    <row r="23" customFormat="false" ht="57.75" hidden="false" customHeight="true" outlineLevel="0" collapsed="false">
      <c r="B23" s="13" t="s">
        <v>400</v>
      </c>
      <c r="C23" s="62" t="s">
        <v>401</v>
      </c>
      <c r="D23" s="62"/>
      <c r="E23" s="62"/>
      <c r="F23" s="63" t="n">
        <f aca="false">INDEX($E$69:$P$69,$D$5)</f>
        <v>0.11771240283688</v>
      </c>
      <c r="G23" s="64" t="str">
        <f aca="false">"≥ "&amp;FIXED($S23*100,1)&amp;" %"</f>
        <v>≥ 12.0 %</v>
      </c>
      <c r="H23" s="65" t="str">
        <f aca="false">FIXED($T23*100,1)&amp;" %"&amp;" à "&amp;FIXED($S23*100,1)&amp;" %"</f>
        <v>8.0 % à 12.0 %</v>
      </c>
      <c r="I23" s="66" t="str">
        <f aca="false">"&lt; "&amp;FIXED($T23*100,1)&amp;" %"</f>
        <v>&lt; 8.0 %</v>
      </c>
      <c r="J23" s="67" t="str">
        <f aca="false">IF(ISNUMBER($F23),IF($F23&gt;=$S23,"● Conforme",IF($F23&gt;=$T23,"● Vigilance","● Alerte")),"—")</f>
        <v>● Vigilance</v>
      </c>
      <c r="K23" s="68" t="str">
        <f aca="false">IF(OR(NOT(ISNUMBER($F23)),$J23="—"),"—",IF($J23="● Conforme","CAF "&amp;FIXED(($F23)*100,1)&amp;" %"&amp;" du CA → "&amp;FIXED((INDEX($E$51:$P$51,$D$5))/1000,0)&amp;" kMAD"&amp;" de cash généré sur le mois → finance investissements et remboursements.","Écart −"&amp;FIXED(ABS($F23-$S23)*100,1)&amp;" pts"&amp;" sous le seuil "&amp;FIXED(($S23)*100,1)&amp;" %"&amp;" → marge de cash insuffisante (activité, change, charges fixes) → atteindre le seuil = +"&amp;FIXED((($S23-$F23)*INDEX($E$44:$P$44,$D$5))/1000,0)&amp;" kMAD"&amp;" de CAF/mois."))</f>
        <v>Écart −0.2 pts sous le seuil 12.0 % → marge de cash insuffisante (activité, change, charges fixes) → atteindre le seuil = +32 kMAD de CAF/mois.</v>
      </c>
      <c r="L23" s="68"/>
      <c r="M23" s="68"/>
      <c r="N23" s="68"/>
      <c r="O23" s="69" t="str">
        <f aca="false">IF(NOT(ISNUMBER($F23)),"—",IF($J23="● Conforme","Affecter la CAF au désendettement et au CAPEX productif.","Revoir prix de vente, couverture de change et achats matières."))</f>
        <v>Revoir prix de vente, couverture de change et achats matières.</v>
      </c>
      <c r="P23" s="69"/>
      <c r="Q23" s="69"/>
      <c r="S23" s="70" t="n">
        <v>0.12</v>
      </c>
      <c r="T23" s="70" t="n">
        <v>0.08</v>
      </c>
      <c r="U23" s="70" t="s">
        <v>372</v>
      </c>
      <c r="V23" s="71" t="s">
        <v>402</v>
      </c>
    </row>
    <row r="24" customFormat="false" ht="57.75" hidden="false" customHeight="true" outlineLevel="0" collapsed="false">
      <c r="B24" s="13" t="s">
        <v>403</v>
      </c>
      <c r="C24" s="62" t="s">
        <v>404</v>
      </c>
      <c r="D24" s="62"/>
      <c r="E24" s="62"/>
      <c r="F24" s="63" t="n">
        <f aca="false">IFERROR(INDEX($E$70:$P$70,$D$5),"—")</f>
        <v>0.0605286665664382</v>
      </c>
      <c r="G24" s="64" t="str">
        <f aca="false">"≥ "&amp;FIXED($S24*100,1)&amp;" %"</f>
        <v>≥ 5.0 %</v>
      </c>
      <c r="H24" s="65" t="str">
        <f aca="false">FIXED($T24*100,1)&amp;" %"&amp;" à "&amp;FIXED($S24*100,1)&amp;" %"</f>
        <v>-5.0 % à 5.0 %</v>
      </c>
      <c r="I24" s="66" t="str">
        <f aca="false">"&lt; "&amp;FIXED($T24*100,1)&amp;" %"</f>
        <v>&lt; -5.0 %</v>
      </c>
      <c r="J24" s="67" t="str">
        <f aca="false">IF(ISNUMBER($F24),IF($F24&gt;=$S24,"● Conforme",IF($F24&gt;=$T24,"● Vigilance","● Alerte")),"—")</f>
        <v>● Conforme</v>
      </c>
      <c r="K24" s="68" t="str">
        <f aca="false">IF(OR(NOT(ISNUMBER($F24)),$J24="—"),"—",IF($J24="● Conforme","RN en hausse de "&amp;FIXED(($F24)*100,1)&amp;" %"&amp;" vs M-1 (+"&amp;FIXED((INDEX($E$50:$P$50,$D$5)-INDEX($D$50:$O$50,$D$5))/1000,0)&amp;" kMAD"&amp;") → dynamique favorable → sécuriser le carnet de commandes.","RN "&amp;FIXED(($F24)*100,1)&amp;" %"&amp;" vs M-1 ("&amp;FIXED((INDEX($E$50:$P$50,$D$5)-INDEX($D$50:$O$50,$D$5))/1000,0)&amp;" kMAD"&amp;") → recul lié au volume, au change ou aux charges du mois → plan d'action pour récupérer "&amp;FIXED((ABS(INDEX($E$50:$P$50,$D$5)-INDEX($D$50:$O$50,$D$5)))/1000,0)&amp;" kMAD"&amp;"."))</f>
        <v>RN en hausse de 6.1 % vs M-1 (+53 kMAD) → dynamique favorable → sécuriser le carnet de commandes.</v>
      </c>
      <c r="L24" s="68"/>
      <c r="M24" s="68"/>
      <c r="N24" s="68"/>
      <c r="O24" s="69" t="str">
        <f aca="false">IF(NOT(ISNUMBER($F24)),"—",IF($J24="● Conforme","Consolider : verrouiller les contrats cadres donneurs d'ordre.","Analyser le mois (volume, change, non courant) et ajuster le plan de charge."))</f>
        <v>Consolider : verrouiller les contrats cadres donneurs d'ordre.</v>
      </c>
      <c r="P24" s="69"/>
      <c r="Q24" s="69"/>
      <c r="S24" s="70" t="n">
        <v>0.05</v>
      </c>
      <c r="T24" s="70" t="n">
        <v>-0.05</v>
      </c>
      <c r="U24" s="70" t="s">
        <v>372</v>
      </c>
      <c r="V24" s="71" t="s">
        <v>402</v>
      </c>
    </row>
    <row r="25" customFormat="false" ht="57.75" hidden="false" customHeight="true" outlineLevel="0" collapsed="false">
      <c r="B25" s="13" t="s">
        <v>405</v>
      </c>
      <c r="C25" s="62" t="s">
        <v>406</v>
      </c>
      <c r="D25" s="62"/>
      <c r="E25" s="62"/>
      <c r="F25" s="63" t="n">
        <f aca="false">INDEX($E$71:$P$71,$D$5)</f>
        <v>0.0873404078014184</v>
      </c>
      <c r="G25" s="64" t="str">
        <f aca="false">"≤ "&amp;FIXED($S25*100,1)&amp;" %"</f>
        <v>≤ 12.0 %</v>
      </c>
      <c r="H25" s="65" t="str">
        <f aca="false">FIXED($S25*100,1)&amp;" %"&amp;" à "&amp;FIXED($T25*100,1)&amp;" %"</f>
        <v>12.0 % à 18.0 %</v>
      </c>
      <c r="I25" s="66" t="str">
        <f aca="false">"&gt; "&amp;FIXED($T25*100,1)&amp;" %"</f>
        <v>&gt; 18.0 %</v>
      </c>
      <c r="J25" s="67" t="str">
        <f aca="false">IF(ISNUMBER($F25),IF($F25&lt;=$S25,"● Conforme",IF($F25&lt;=$T25,"● Vigilance","● Alerte")),"—")</f>
        <v>● Conforme</v>
      </c>
      <c r="K25" s="68" t="str">
        <f aca="false">IF(OR(NOT(ISNUMBER($F25)),$J25="—"),"—",IF($J25="● Conforme","Densité "&amp;FIXED(($F25)*100,1)&amp;" %"&amp;" ≤ "&amp;FIXED(($S25)*100,1)&amp;" %"&amp;" → achats externes maîtrisés → renégocier annuellement les contrats cadres.","Écart +"&amp;FIXED(ABS($F25-$S25)*100,1)&amp;" pts"&amp;" → sous-traitance, intérim ou entretien au-dessus de la norme → revenir au seuil = "&amp;FIXED((($F25-$S25)*INDEX($E$44:$P$44,$D$5))/1000,0)&amp;" kMAD"&amp;"/mois d'économies."))</f>
        <v>Densité 8.7 % ≤ 12.0 % → achats externes maîtrisés → renégocier annuellement les contrats cadres.</v>
      </c>
      <c r="L25" s="68"/>
      <c r="M25" s="68"/>
      <c r="N25" s="68"/>
      <c r="O25" s="69" t="str">
        <f aca="false">IF(NOT(ISNUMBER($F25)),"—",IF($J25="● Conforme","Renégocier annuellement les contrats de sous-traitance.","Appel d'offres sur maintenance, transport et intérim ; internaliser si rentable."))</f>
        <v>Renégocier annuellement les contrats de sous-traitance.</v>
      </c>
      <c r="P25" s="69"/>
      <c r="Q25" s="69"/>
      <c r="S25" s="70" t="n">
        <v>0.12</v>
      </c>
      <c r="T25" s="70" t="n">
        <v>0.18</v>
      </c>
      <c r="U25" s="70" t="s">
        <v>372</v>
      </c>
      <c r="V25" s="71" t="s">
        <v>399</v>
      </c>
    </row>
    <row r="26" customFormat="false" ht="57.75" hidden="false" customHeight="true" outlineLevel="0" collapsed="false">
      <c r="B26" s="13" t="s">
        <v>407</v>
      </c>
      <c r="C26" s="62" t="s">
        <v>408</v>
      </c>
      <c r="D26" s="62"/>
      <c r="E26" s="62"/>
      <c r="F26" s="63" t="n">
        <f aca="false">INDEX($E$72:$P$72,$D$5)</f>
        <v>0.0943937014184398</v>
      </c>
      <c r="G26" s="64" t="str">
        <f aca="false">"≥ "&amp;FIXED($S26*100,1)&amp;" %"</f>
        <v>≥ 10.0 %</v>
      </c>
      <c r="H26" s="65" t="str">
        <f aca="false">FIXED($T26*100,1)&amp;" %"&amp;" à "&amp;FIXED($S26*100,1)&amp;" %"</f>
        <v>5.0 % à 10.0 %</v>
      </c>
      <c r="I26" s="66" t="str">
        <f aca="false">"&lt; "&amp;FIXED($T26*100,1)&amp;" %"</f>
        <v>&lt; 5.0 %</v>
      </c>
      <c r="J26" s="67" t="str">
        <f aca="false">IF(ISNUMBER($F26),IF($F26&gt;=$S26,"● Conforme",IF($F26&gt;=$T26,"● Vigilance","● Alerte")),"—")</f>
        <v>● Vigilance</v>
      </c>
      <c r="K26" s="68" t="str">
        <f aca="false">IF(OR(NOT(ISNUMBER($F26)),$J26="—"),"—",IF($J26="● Conforme","Marge "&amp;FIXED(($F26)*100,1)&amp;" %"&amp;" ≥ "&amp;FIXED(($S26)*100,1)&amp;" %"&amp;" → au-dessus du seuil sectoriel → préserver le mix produits à forte valeur.","Écart −"&amp;FIXED(ABS($F26-$S26)*100,1)&amp;" pts"&amp;" sous le seuil "&amp;FIXED(($S26)*100,1)&amp;" %"&amp;" → charges fixes non absorbées par le volume → atteindre le seuil = +"&amp;FIXED((($S26-$F26)*INDEX($E$44:$P$44,$D$5))/1000,0)&amp;" kMAD"&amp;" de REX/mois."))</f>
        <v>Écart −0.6 pts sous le seuil 10.0 % → charges fixes non absorbées par le volume → atteindre le seuil = +79 kMAD de REX/mois.</v>
      </c>
      <c r="L26" s="68"/>
      <c r="M26" s="68"/>
      <c r="N26" s="68"/>
      <c r="O26" s="69" t="str">
        <f aca="false">IF(NOT(ISNUMBER($F26)),"—",IF($J26="● Conforme","Préserver le mix produits à forte valeur ajoutée.","Hausse tarifaire indexée matières + plan d'économies sur charges fixes."))</f>
        <v>Hausse tarifaire indexée matières + plan d'économies sur charges fixes.</v>
      </c>
      <c r="P26" s="69"/>
      <c r="Q26" s="69"/>
      <c r="S26" s="70" t="n">
        <v>0.1</v>
      </c>
      <c r="T26" s="70" t="n">
        <v>0.05</v>
      </c>
      <c r="U26" s="70" t="s">
        <v>372</v>
      </c>
      <c r="V26" s="71" t="s">
        <v>402</v>
      </c>
    </row>
    <row r="27" customFormat="false" ht="57.75" hidden="false" customHeight="true" outlineLevel="0" collapsed="false">
      <c r="B27" s="13" t="s">
        <v>409</v>
      </c>
      <c r="C27" s="62" t="s">
        <v>410</v>
      </c>
      <c r="D27" s="62"/>
      <c r="E27" s="62"/>
      <c r="F27" s="72" t="n">
        <f aca="false">INDEX($E$73:$P$73,$D$5)</f>
        <v>0.564189101307553</v>
      </c>
      <c r="G27" s="64" t="str">
        <f aca="false">"≤ "&amp;FIXED($S27,2)&amp;" x"</f>
        <v>≤ 0.80 x</v>
      </c>
      <c r="H27" s="65" t="str">
        <f aca="false">FIXED($S27,2)&amp;" x"&amp;" à "&amp;FIXED($T27,2)&amp;" x"</f>
        <v>0.80 x à 1.50 x</v>
      </c>
      <c r="I27" s="66" t="str">
        <f aca="false">"&gt; "&amp;FIXED($T27,2)&amp;" x"</f>
        <v>&gt; 1.50 x</v>
      </c>
      <c r="J27" s="67" t="str">
        <f aca="false">IF(ISNUMBER($F27),IF($F27&lt;=$S27,"● Conforme",IF($F27&lt;=$T27,"● Vigilance","● Alerte")),"—")</f>
        <v>● Conforme</v>
      </c>
      <c r="K27" s="68" t="str">
        <f aca="false">IF(OR(NOT(ISNUMBER($F27)),$J27="—"),"—",IF($J27="● Conforme","Gearing "&amp;FIXED($F27,2)&amp;" x"&amp;" ≤ "&amp;FIXED($S27,2)&amp;" x"&amp;" → structure financière saine → capacité d'endettement résiduelle de "&amp;FIXED((($S27-$F27)*INDEX($E$66:$P$66,$D$5))/1000,0)&amp;" kMAD"&amp;".","Gearing "&amp;FIXED($F27,2)&amp;" x"&amp;" &gt; "&amp;FIXED($S27,2)&amp;" x"&amp;" → poids de la dette sur les fonds propres → désendettement de "&amp;FIXED((($F27-$S27)*INDEX($E$66:$P$66,$D$5))/1000,0)&amp;" kMAD"&amp;" pour revenir au seuil."))</f>
        <v>Gearing 0.56 x ≤ 0.80 x → structure financière saine → capacité d'endettement résiduelle de 20,229 kMAD.</v>
      </c>
      <c r="L27" s="68"/>
      <c r="M27" s="68"/>
      <c r="N27" s="68"/>
      <c r="O27" s="69" t="str">
        <f aca="false">IF(NOT(ISNUMBER($F27)),"—",IF($J27="● Conforme","Conserver la marge d'endettement pour le CAPEX.","Rembourser par anticipation ou renforcer les fonds propres."))</f>
        <v>Conserver la marge d'endettement pour le CAPEX.</v>
      </c>
      <c r="P27" s="69"/>
      <c r="Q27" s="69"/>
      <c r="S27" s="73" t="n">
        <v>0.8</v>
      </c>
      <c r="T27" s="73" t="n">
        <v>1.5</v>
      </c>
      <c r="U27" s="73" t="s">
        <v>372</v>
      </c>
      <c r="V27" s="71" t="s">
        <v>399</v>
      </c>
    </row>
    <row r="28" customFormat="false" ht="57.75" hidden="false" customHeight="true" outlineLevel="0" collapsed="false">
      <c r="B28" s="13" t="s">
        <v>411</v>
      </c>
      <c r="C28" s="62" t="s">
        <v>412</v>
      </c>
      <c r="D28" s="62"/>
      <c r="E28" s="62"/>
      <c r="F28" s="63" t="n">
        <f aca="false">INDEX($E$74:$P$74,$D$5)</f>
        <v>0.0236614262411348</v>
      </c>
      <c r="G28" s="64" t="str">
        <f aca="false">"≤ "&amp;FIXED($S28*100,1)&amp;" %"</f>
        <v>≤ 2.0 %</v>
      </c>
      <c r="H28" s="65" t="str">
        <f aca="false">FIXED($S28*100,1)&amp;" %"&amp;" à "&amp;FIXED($T28*100,1)&amp;" %"</f>
        <v>2.0 % à 3.5 %</v>
      </c>
      <c r="I28" s="66" t="str">
        <f aca="false">"&gt; "&amp;FIXED($T28*100,1)&amp;" %"</f>
        <v>&gt; 3.5 %</v>
      </c>
      <c r="J28" s="67" t="str">
        <f aca="false">IF(ISNUMBER($F28),IF($F28&lt;=$S28,"● Conforme",IF($F28&lt;=$T28,"● Vigilance","● Alerte")),"—")</f>
        <v>● Vigilance</v>
      </c>
      <c r="K28" s="68" t="str">
        <f aca="false">IF(OR(NOT(ISNUMBER($F28)),$J28="—"),"—",IF($J28="● Conforme","Charges financières "&amp;FIXED(($F28)*100,1)&amp;" %"&amp;" du CA → coût du financement maîtrisé → maintenir la couverture de change.","Écart +"&amp;FIXED(ABS($F28-$S28)*100,1)&amp;" pts"&amp;" → intérêts + pertes de change ("&amp;FIXED((INDEX($E$58:$P$58,$D$5))/1000,0)&amp;" kMAD"&amp;" de pertes de change) → couverture à terme EUR/USD et renégociation : gain visé "&amp;FIXED((($F28-$S28)*INDEX($E$44:$P$44,$D$5))/1000,0)&amp;" kMAD"&amp;"/mois."))</f>
        <v>Écart +0.4 pts → intérêts + pertes de change (70 kMAD de pertes de change) → couverture à terme EUR/USD et renégociation : gain visé 52 kMAD/mois.</v>
      </c>
      <c r="L28" s="68"/>
      <c r="M28" s="68"/>
      <c r="N28" s="68"/>
      <c r="O28" s="69" t="str">
        <f aca="false">IF(NOT(ISNUMBER($F28)),"—",IF($J28="● Conforme","Maintenir la politique de couverture.","Couverture à terme EUR/USD et renégociation des marges bancaires."))</f>
        <v>Couverture à terme EUR/USD et renégociation des marges bancaires.</v>
      </c>
      <c r="P28" s="69"/>
      <c r="Q28" s="69"/>
      <c r="S28" s="70" t="n">
        <v>0.02</v>
      </c>
      <c r="T28" s="70" t="n">
        <v>0.035</v>
      </c>
      <c r="U28" s="70" t="s">
        <v>372</v>
      </c>
      <c r="V28" s="71" t="s">
        <v>399</v>
      </c>
    </row>
    <row r="29" customFormat="false" ht="57.75" hidden="false" customHeight="true" outlineLevel="0" collapsed="false">
      <c r="B29" s="13" t="s">
        <v>413</v>
      </c>
      <c r="C29" s="62" t="s">
        <v>414</v>
      </c>
      <c r="D29" s="62"/>
      <c r="E29" s="62"/>
      <c r="F29" s="63" t="n">
        <f aca="false">INDEX($E$75:$P$75,$D$5)</f>
        <v>0.0614007026194145</v>
      </c>
      <c r="G29" s="64" t="str">
        <f aca="false">"≤ "&amp;FIXED($S29*100,1)&amp;" %"</f>
        <v>≤ 5.5 %</v>
      </c>
      <c r="H29" s="65" t="str">
        <f aca="false">FIXED($S29*100,1)&amp;" %"&amp;" à "&amp;FIXED($T29*100,1)&amp;" %"</f>
        <v>5.5 % à 7.5 %</v>
      </c>
      <c r="I29" s="66" t="str">
        <f aca="false">"&gt; "&amp;FIXED($T29*100,1)&amp;" %"</f>
        <v>&gt; 7.5 %</v>
      </c>
      <c r="J29" s="67" t="str">
        <f aca="false">IF(ISNUMBER($F29),IF($F29&lt;=$S29,"● Conforme",IF($F29&lt;=$T29,"● Vigilance","● Alerte")),"—")</f>
        <v>● Vigilance</v>
      </c>
      <c r="K29" s="68" t="str">
        <f aca="false">IF(OR(NOT(ISNUMBER($F29)),$J29="—"),"—",IF($J29="● Conforme","Taux "&amp;FIXED(($F29)*100,1)&amp;" %"&amp;" ≤ "&amp;FIXED(($S29)*100,1)&amp;" %"&amp;" → conditions bancaires compétitives → verrouiller les taux fixes.","Taux "&amp;FIXED(($F29)*100,1)&amp;" %"&amp;" &gt; "&amp;FIXED(($S29)*100,1)&amp;" %"&amp;" → conditions bancaires élevées → renégocier au seuil = "&amp;FIXED((($F29-$S29)*INDEX($E$65:$P$65,$D$5)/12)/1000,0)&amp;" kMAD"&amp;"/mois d'intérêts économisés."))</f>
        <v>Taux 6.1 % &gt; 5.5 % → conditions bancaires élevées → renégocier au seuil = 26 kMAD/mois d'intérêts économisés.</v>
      </c>
      <c r="L29" s="68"/>
      <c r="M29" s="68"/>
      <c r="N29" s="68"/>
      <c r="O29" s="69" t="str">
        <f aca="false">IF(NOT(ISNUMBER($F29)),"—",IF($J29="● Conforme","Verrouiller des taux fixes sur la dette longue.","Mettre les banques en concurrence ; viser le seuil sectoriel."))</f>
        <v>Mettre les banques en concurrence ; viser le seuil sectoriel.</v>
      </c>
      <c r="P29" s="69"/>
      <c r="Q29" s="69"/>
      <c r="S29" s="70" t="n">
        <v>0.055</v>
      </c>
      <c r="T29" s="70" t="n">
        <v>0.075</v>
      </c>
      <c r="U29" s="70" t="s">
        <v>372</v>
      </c>
      <c r="V29" s="71" t="s">
        <v>399</v>
      </c>
    </row>
    <row r="30" customFormat="false" ht="57.75" hidden="false" customHeight="true" outlineLevel="0" collapsed="false">
      <c r="B30" s="13" t="s">
        <v>415</v>
      </c>
      <c r="C30" s="62" t="s">
        <v>416</v>
      </c>
      <c r="D30" s="62"/>
      <c r="E30" s="62"/>
      <c r="F30" s="74" t="n">
        <f aca="false">INDEX($E$76:$P$76,$D$5)</f>
        <v>54.3358727234043</v>
      </c>
      <c r="G30" s="64" t="str">
        <f aca="false">"≤ "&amp;FIXED($S30,0)&amp;" j"</f>
        <v>≤ 90 j</v>
      </c>
      <c r="H30" s="65" t="str">
        <f aca="false">FIXED($S30,0)&amp;" j"&amp;" à "&amp;FIXED($T30,0)&amp;" j"</f>
        <v>90 j à 120 j</v>
      </c>
      <c r="I30" s="66" t="str">
        <f aca="false">"&gt; "&amp;FIXED($T30,0)&amp;" j"</f>
        <v>&gt; 120 j</v>
      </c>
      <c r="J30" s="67" t="str">
        <f aca="false">IF(ISNUMBER($F30),IF($F30&lt;=$S30,"● Conforme",IF($F30&lt;=$T30,"● Vigilance","● Alerte")),"—")</f>
        <v>● Conforme</v>
      </c>
      <c r="K30" s="68" t="str">
        <f aca="false">IF(OR(NOT(ISNUMBER($F30)),$J30="—"),"—",IF($J30="● Conforme","BFR "&amp;FIXED($F30,0)&amp;" j"&amp;" de CA ("&amp;FIXED((INDEX($E$63:$P$63,$D$5))/1000,0)&amp;" kMAD"&amp;") → cycle d'exploitation maîtrisé → maintenir la discipline stocks/créances.","BFR "&amp;FIXED($F30,0)&amp;" j"&amp;" ("&amp;FIXED((INDEX($E$63:$P$63,$D$5))/1000,0)&amp;" kMAD"&amp;") &gt; "&amp;FIXED($S30,0)&amp;" j"&amp;" → stocks et créances lourds → revenir à "&amp;FIXED($S30,0)&amp;" j"&amp;" libère "&amp;FIXED((($F30-$S30)*INDEX($E$44:$P$44,$D$5)/$L$5)/1000,0)&amp;" kMAD"&amp;" de trésorerie."))</f>
        <v>BFR 54 j de CA (25,538 kMAD) → cycle d'exploitation maîtrisé → maintenir la discipline stocks/créances.</v>
      </c>
      <c r="L30" s="68"/>
      <c r="M30" s="68"/>
      <c r="N30" s="68"/>
      <c r="O30" s="69" t="str">
        <f aca="false">IF(NOT(ISNUMBER($F30)),"—",IF($J30="● Conforme","Suivre mensuellement stocks, clients et fournisseurs.","Plan BFR : relances clients, stocks de sécurité optimisés, délais fournisseurs."))</f>
        <v>Suivre mensuellement stocks, clients et fournisseurs.</v>
      </c>
      <c r="P30" s="69"/>
      <c r="Q30" s="69"/>
      <c r="S30" s="75" t="n">
        <v>90</v>
      </c>
      <c r="T30" s="75" t="n">
        <v>120</v>
      </c>
      <c r="U30" s="75" t="s">
        <v>372</v>
      </c>
      <c r="V30" s="71" t="s">
        <v>399</v>
      </c>
    </row>
    <row r="31" customFormat="false" ht="57.75" hidden="false" customHeight="true" outlineLevel="0" collapsed="false">
      <c r="B31" s="13" t="s">
        <v>417</v>
      </c>
      <c r="C31" s="62" t="s">
        <v>418</v>
      </c>
      <c r="D31" s="62"/>
      <c r="E31" s="62"/>
      <c r="F31" s="74" t="n">
        <f aca="false">INDEX($E$77:$P$77,$D$5)</f>
        <v>72.597350461662</v>
      </c>
      <c r="G31" s="64" t="str">
        <f aca="false">"≤ "&amp;FIXED($S31,0)&amp;" j"</f>
        <v>≤ 60 j</v>
      </c>
      <c r="H31" s="65" t="str">
        <f aca="false">FIXED($S31,0)&amp;" j"&amp;" à "&amp;FIXED($T31,0)&amp;" j"</f>
        <v>60 j à 90 j</v>
      </c>
      <c r="I31" s="66" t="str">
        <f aca="false">"&gt; "&amp;FIXED($T31,0)&amp;" j"</f>
        <v>&gt; 90 j</v>
      </c>
      <c r="J31" s="67" t="str">
        <f aca="false">IF(ISNUMBER($F31),IF($F31&lt;=$S31,"● Conforme",IF($F31&lt;=$T31,"● Vigilance","● Alerte")),"—")</f>
        <v>● Vigilance</v>
      </c>
      <c r="K31" s="68" t="str">
        <f aca="false">IF(OR(NOT(ISNUMBER($F31)),$J31="—"),"—",IF($J31="● Conforme","DSO "&amp;FIXED($F31,0)&amp;" j"&amp;" ≤ "&amp;FIXED($S31,0)&amp;" j"&amp;" → recouvrement conforme à la loi 69-21 → poursuivre les relances systématiques.","DSO "&amp;FIXED($F31,0)&amp;" j"&amp;" &gt; "&amp;FIXED($S31,0)&amp;" j"&amp;" → encaissements lents des donneurs d'ordre → revenir à "&amp;FIXED($S31,0)&amp;" j"&amp;" libère "&amp;FIXED((($F31-$S31)*INDEX($E$45:$P$45,$D$5)/$L$5)/1000,0)&amp;" kMAD"&amp;" (relances, affacturage export)."))</f>
        <v>DSO 73 j &gt; 60 j → encaissements lents des donneurs d'ordre → revenir à 60 j libère 6,276 kMAD (relances, affacturage export).</v>
      </c>
      <c r="L31" s="68"/>
      <c r="M31" s="68"/>
      <c r="N31" s="68"/>
      <c r="O31" s="69" t="str">
        <f aca="false">IF(NOT(ISNUMBER($F31)),"—",IF($J31="● Conforme","Relances systématiques à J+30.","Affacturage export, escompte pour paiement anticipé, relances J+15."))</f>
        <v>Affacturage export, escompte pour paiement anticipé, relances J+15.</v>
      </c>
      <c r="P31" s="69"/>
      <c r="Q31" s="69"/>
      <c r="S31" s="75" t="n">
        <v>60</v>
      </c>
      <c r="T31" s="75" t="n">
        <v>90</v>
      </c>
      <c r="U31" s="75" t="s">
        <v>372</v>
      </c>
      <c r="V31" s="71" t="s">
        <v>399</v>
      </c>
    </row>
    <row r="32" customFormat="false" ht="57.75" hidden="false" customHeight="true" outlineLevel="0" collapsed="false">
      <c r="B32" s="13" t="s">
        <v>419</v>
      </c>
      <c r="C32" s="62" t="s">
        <v>420</v>
      </c>
      <c r="D32" s="62"/>
      <c r="E32" s="62"/>
      <c r="F32" s="74" t="n">
        <f aca="false">INDEX($E$78:$P$78,$D$5)</f>
        <v>78.7730270576658</v>
      </c>
      <c r="G32" s="64" t="str">
        <f aca="false">FIXED($S32,0)&amp;" j"&amp;" à "&amp;FIXED($T32,0)&amp;" j"</f>
        <v>60 j à 90 j</v>
      </c>
      <c r="H32" s="65" t="str">
        <f aca="false">"&lt; "&amp;FIXED($S32,0)&amp;" j"&amp;" ou "&amp;FIXED($T32,0)&amp;" j"&amp;" à "&amp;FIXED($U32,0)&amp;" j"</f>
        <v>&lt; 60 j ou 90 j à 120 j</v>
      </c>
      <c r="I32" s="66" t="str">
        <f aca="false">"&gt; "&amp;FIXED($U32,0)&amp;" j"</f>
        <v>&gt; 120 j</v>
      </c>
      <c r="J32" s="67" t="str">
        <f aca="false">IF(ISNUMBER($F32),IF(AND($F32&gt;=$S32,$F32&lt;=$T32),"● Conforme",IF($F32&gt;$U32,"● Alerte","● Vigilance")),"—")</f>
        <v>● Conforme</v>
      </c>
      <c r="K32" s="68" t="str">
        <f aca="false">IF(OR(NOT(ISNUMBER($F32)),$J32="—"),"—",IF($J32="● Conforme","DPO "&amp;FIXED($F32,0)&amp;" j"&amp;" dans la zone "&amp;FIXED($S32,0)&amp;" j"&amp;"–"&amp;FIXED($T32,0)&amp;" j"&amp;" → conforme à la loi 69-21 et favorable à la trésorerie.",IF($F32&gt;$T32,"DPO "&amp;FIXED($F32,0)&amp;" j"&amp;" &gt; "&amp;FIXED($T32,0)&amp;" j"&amp;" → risque de pénalités de retard (loi 69-21) → ramener à "&amp;FIXED($T32,0)&amp;" j"&amp;" = "&amp;FIXED((($F32-$T32)*INDEX($E$59:$P$59,$D$5)/$L$5)/1000,0)&amp;" kMAD"&amp;" à régler en priorité.","DPO "&amp;FIXED($F32,0)&amp;" j"&amp;" &lt; "&amp;FIXED($S32,0)&amp;" j"&amp;" → fournisseurs payés trop vite → allonger à "&amp;FIXED($S32,0)&amp;" j"&amp;" = "&amp;FIXED((($S32-$F32)*INDEX($E$59:$P$59,$D$5)/$L$5)/1000,0)&amp;" kMAD"&amp;" de trésorerie gagnée.")))</f>
        <v>DPO 79 j dans la zone 60 j–90 j → conforme à la loi 69-21 et favorable à la trésorerie.</v>
      </c>
      <c r="L32" s="68"/>
      <c r="M32" s="68"/>
      <c r="N32" s="68"/>
      <c r="O32" s="69" t="str">
        <f aca="false">IF(NOT(ISNUMBER($F32)),"—",IF($J32="● Conforme","Respecter strictement les 60–90 j (loi 69-21).","Réaligner l'échéancier fournisseurs sur la zone 60–90 j."))</f>
        <v>Respecter strictement les 60–90 j (loi 69-21).</v>
      </c>
      <c r="P32" s="69"/>
      <c r="Q32" s="69"/>
      <c r="S32" s="75" t="n">
        <v>60</v>
      </c>
      <c r="T32" s="75" t="n">
        <v>90</v>
      </c>
      <c r="U32" s="75" t="n">
        <v>120</v>
      </c>
      <c r="V32" s="71" t="s">
        <v>421</v>
      </c>
    </row>
    <row r="33" customFormat="false" ht="57.75" hidden="false" customHeight="true" outlineLevel="0" collapsed="false">
      <c r="B33" s="13" t="s">
        <v>422</v>
      </c>
      <c r="C33" s="62" t="s">
        <v>423</v>
      </c>
      <c r="D33" s="62"/>
      <c r="E33" s="62"/>
      <c r="F33" s="74" t="n">
        <f aca="false">INDEX($E$79:$P$79,$D$5)</f>
        <v>82.7172155874329</v>
      </c>
      <c r="G33" s="64" t="str">
        <f aca="false">"≤ "&amp;FIXED($S33,0)&amp;" j"</f>
        <v>≤ 90 j</v>
      </c>
      <c r="H33" s="65" t="str">
        <f aca="false">FIXED($S33,0)&amp;" j"&amp;" à "&amp;FIXED($T33,0)&amp;" j"</f>
        <v>90 j à 130 j</v>
      </c>
      <c r="I33" s="66" t="str">
        <f aca="false">"&gt; "&amp;FIXED($T33,0)&amp;" j"</f>
        <v>&gt; 130 j</v>
      </c>
      <c r="J33" s="67" t="str">
        <f aca="false">IF(ISNUMBER($F33),IF($F33&lt;=$S33,"● Conforme",IF($F33&lt;=$T33,"● Vigilance","● Alerte")),"—")</f>
        <v>● Conforme</v>
      </c>
      <c r="K33" s="68" t="str">
        <f aca="false">IF(OR(NOT(ISNUMBER($F33)),$J33="—"),"—",IF($J33="● Conforme","DIO "&amp;FIXED($F33,0)&amp;" j"&amp;" ≤ "&amp;FIXED($S33,0)&amp;" j"&amp;" → rotation des stocks conforme aux cycles aéronautiques.","DIO "&amp;FIXED($F33,0)&amp;" j"&amp;" &gt; "&amp;FIXED($S33,0)&amp;" j"&amp;" → stocks matières et en-cours lourds pour le niveau d'activité → revenir à "&amp;FIXED($S33,0)&amp;" j"&amp;" libère "&amp;FIXED((($F33-$S33)*INDEX($E$54:$P$54,$D$5)/$L$5)/1000,0)&amp;" kMAD"&amp;"."))</f>
        <v>DIO 83 j ≤ 90 j → rotation des stocks conforme aux cycles aéronautiques.</v>
      </c>
      <c r="L33" s="68"/>
      <c r="M33" s="68"/>
      <c r="N33" s="68"/>
      <c r="O33" s="69" t="str">
        <f aca="false">IF(NOT(ISNUMBER($F33)),"—",IF($J33="● Conforme","Maintenir la planification MRP.","Réduire les stocks de sécurité, accélérer la sortie des en-cours."))</f>
        <v>Maintenir la planification MRP.</v>
      </c>
      <c r="P33" s="69"/>
      <c r="Q33" s="69"/>
      <c r="S33" s="75" t="n">
        <v>90</v>
      </c>
      <c r="T33" s="75" t="n">
        <v>130</v>
      </c>
      <c r="U33" s="75" t="s">
        <v>372</v>
      </c>
      <c r="V33" s="71" t="s">
        <v>399</v>
      </c>
    </row>
    <row r="34" customFormat="false" ht="57.75" hidden="false" customHeight="true" outlineLevel="0" collapsed="false">
      <c r="B34" s="13" t="s">
        <v>424</v>
      </c>
      <c r="C34" s="62" t="s">
        <v>425</v>
      </c>
      <c r="D34" s="62"/>
      <c r="E34" s="62"/>
      <c r="F34" s="74" t="n">
        <f aca="false">INDEX($E$80:$P$80,$D$5)</f>
        <v>76.5415389914292</v>
      </c>
      <c r="G34" s="64" t="str">
        <f aca="false">"≤ "&amp;FIXED($S34,0)&amp;" j"</f>
        <v>≤ 90 j</v>
      </c>
      <c r="H34" s="65" t="str">
        <f aca="false">FIXED($S34,0)&amp;" j"&amp;" à "&amp;FIXED($T34,0)&amp;" j"</f>
        <v>90 j à 130 j</v>
      </c>
      <c r="I34" s="66" t="str">
        <f aca="false">"&gt; "&amp;FIXED($T34,0)&amp;" j"</f>
        <v>&gt; 130 j</v>
      </c>
      <c r="J34" s="67" t="str">
        <f aca="false">IF(ISNUMBER($F34),IF($F34&lt;=$S34,"● Conforme",IF($F34&lt;=$T34,"● Vigilance","● Alerte")),"—")</f>
        <v>● Conforme</v>
      </c>
      <c r="K34" s="68" t="str">
        <f aca="false">IF(OR(NOT(ISNUMBER($F34)),$J34="—"),"—",IF($J34="● Conforme","Cycle "&amp;FIXED($F34,0)&amp;" j"&amp;" ≤ "&amp;FIXED($S34,0)&amp;" j"&amp;" → conversion du cash conforme → chaque jour gagné = "&amp;FIXED((INDEX($E$44:$P$44,$D$5)/$L$5)/1000,0)&amp;" kMAD"&amp;" de trésorerie.","Cycle "&amp;FIXED($F34,0)&amp;" j"&amp;" &gt; "&amp;FIXED($S34,0)&amp;" j"&amp;" → trésorerie immobilisée dans le cycle → réduire de "&amp;FIXED($F34-$S34,0)&amp;" j libère "&amp;FIXED((($F34-$S34)*INDEX($E$44:$P$44,$D$5)/$L$5)/1000,0)&amp;" kMAD"&amp;"."))</f>
        <v>Cycle 77 j ≤ 90 j → conversion du cash conforme → chaque jour gagné = 470 kMAD de trésorerie.</v>
      </c>
      <c r="L34" s="68"/>
      <c r="M34" s="68"/>
      <c r="N34" s="68"/>
      <c r="O34" s="69" t="str">
        <f aca="false">IF(NOT(ISNUMBER($F34)),"—",IF($J34="● Conforme","Pilotage hebdomadaire du cash.","Agir sur les 3 leviers : DSO ↓, DIO ↓, DPO dans la zone légale."))</f>
        <v>Pilotage hebdomadaire du cash.</v>
      </c>
      <c r="P34" s="69"/>
      <c r="Q34" s="69"/>
      <c r="S34" s="75" t="n">
        <v>90</v>
      </c>
      <c r="T34" s="75" t="n">
        <v>130</v>
      </c>
      <c r="U34" s="75" t="s">
        <v>372</v>
      </c>
      <c r="V34" s="71" t="s">
        <v>399</v>
      </c>
    </row>
    <row r="35" customFormat="false" ht="57.75" hidden="false" customHeight="true" outlineLevel="0" collapsed="false">
      <c r="B35" s="13" t="s">
        <v>426</v>
      </c>
      <c r="C35" s="62" t="s">
        <v>427</v>
      </c>
      <c r="D35" s="62"/>
      <c r="E35" s="62"/>
      <c r="F35" s="76" t="n">
        <f aca="false">INDEX($E$81:$P$81,$D$5)</f>
        <v>1400951.19</v>
      </c>
      <c r="G35" s="64" t="str">
        <f aca="false">"≥ "&amp;FIXED($S35,0)&amp;" MAD"</f>
        <v>≥ 0 MAD</v>
      </c>
      <c r="H35" s="65" t="str">
        <f aca="false">"—"</f>
        <v>—</v>
      </c>
      <c r="I35" s="66" t="str">
        <f aca="false">"&lt; "&amp;FIXED($T35,0)&amp;" MAD"</f>
        <v>&lt; 0 MAD</v>
      </c>
      <c r="J35" s="67" t="str">
        <f aca="false">IF(ISNUMBER($F35),IF($F35&gt;=$S35,"● Conforme",IF($F35&gt;=$T35,"● Vigilance","● Alerte")),"—")</f>
        <v>● Conforme</v>
      </c>
      <c r="K35" s="68" t="str">
        <f aca="false">IF(OR(NOT(ISNUMBER($F35)),$J35="—"),"—",IF($J35="● Conforme","REX y compris change "&amp;FIXED(($F35)/1000,0)&amp;" kMAD"&amp;" (effet change "&amp;FIXED((INDEX($E$57:$P$57,$D$5)-INDEX($E$58:$P$58,$D$5))/1000,0)&amp;" kMAD"&amp;") → performance opérationnelle positive.","REX corrigé négatif ("&amp;FIXED(($F35)/1000,0)&amp;" kMAD"&amp;") → perte d'exploitation sur le mois, aggravée ou non par le change ("&amp;FIXED((INDEX($E$57:$P$57,$D$5)-INDEX($E$58:$P$58,$D$5))/1000,0)&amp;" kMAD"&amp;") → plan d'absorption des charges fixes."))</f>
        <v>REX y compris change 1,401 kMAD (effet change 70 kMAD) → performance opérationnelle positive.</v>
      </c>
      <c r="L35" s="68"/>
      <c r="M35" s="68"/>
      <c r="N35" s="68"/>
      <c r="O35" s="69" t="str">
        <f aca="false">IF(NOT(ISNUMBER($F35)),"—",IF($J35="● Conforme","Neutraliser le change par couverture pour lire la vraie performance.","Plan d'absorption des charges fixes sur les mois creux."))</f>
        <v>Neutraliser le change par couverture pour lire la vraie performance.</v>
      </c>
      <c r="P35" s="69"/>
      <c r="Q35" s="69"/>
      <c r="S35" s="77" t="n">
        <v>0</v>
      </c>
      <c r="T35" s="77" t="n">
        <v>0</v>
      </c>
      <c r="U35" s="77" t="s">
        <v>372</v>
      </c>
      <c r="V35" s="71" t="s">
        <v>402</v>
      </c>
    </row>
    <row r="36" customFormat="false" ht="57.75" hidden="false" customHeight="true" outlineLevel="0" collapsed="false">
      <c r="B36" s="13" t="s">
        <v>428</v>
      </c>
      <c r="C36" s="62" t="s">
        <v>429</v>
      </c>
      <c r="D36" s="62"/>
      <c r="E36" s="62"/>
      <c r="F36" s="63" t="n">
        <f aca="false">INDEX($E$82:$P$82,$D$5)</f>
        <v>0.0525939647719162</v>
      </c>
      <c r="G36" s="64" t="str">
        <f aca="false">"|x| ≤ "&amp;FIXED($S36*100,1)&amp;" %"</f>
        <v>|x| ≤ 5.0 %</v>
      </c>
      <c r="H36" s="65" t="str">
        <f aca="false">FIXED($S36*100,1)&amp;" %"&amp;" à "&amp;FIXED($T36*100,1)&amp;" %"</f>
        <v>5.0 % à 10.0 %</v>
      </c>
      <c r="I36" s="66" t="str">
        <f aca="false">"|x| &gt; "&amp;FIXED($T36*100,1)&amp;" %"</f>
        <v>|x| &gt; 10.0 %</v>
      </c>
      <c r="J36" s="67" t="str">
        <f aca="false">IF(ISNUMBER($F36),IF(ABS($F36)&lt;=$S36,"● Conforme",IF(ABS($F36)&lt;=$T36,"● Vigilance","● Alerte")),"—")</f>
        <v>● Vigilance</v>
      </c>
      <c r="K36" s="68" t="str">
        <f aca="false">IF(OR(NOT(ISNUMBER($F36)),$J36="—"),"—",IF($J36="● Conforme","Effet change "&amp;FIXED(($F36)*100,1)&amp;" %"&amp;" du REX → exposition EUR/USD maîtrisée.","Effet change "&amp;FIXED(($F36)*100,1)&amp;" %"&amp;" du REX ("&amp;FIXED((INDEX($E$57:$P$57,$D$5)-INDEX($E$58:$P$58,$D$5))/1000,0)&amp;" kMAD"&amp;") → exposition EUR/USD non couverte → couvrir 70 % des flux à terme : volatilité réduite d'environ "&amp;FIXED((ABS(INDEX($E$57:$P$57,$D$5)-INDEX($E$58:$P$58,$D$5))*0.7)/1000,0)&amp;" kMAD"&amp;"."))</f>
        <v>Effet change 5.3 % du REX (70 kMAD) → exposition EUR/USD non couverte → couvrir 70 % des flux à terme : volatilité réduite d'environ 49 kMAD.</v>
      </c>
      <c r="L36" s="68"/>
      <c r="M36" s="68"/>
      <c r="N36" s="68"/>
      <c r="O36" s="69" t="str">
        <f aca="false">IF(NOT(ISNUMBER($F36)),"—",IF($J36="● Conforme","Maintenir la couverture naturelle (achats en EUR/USD).","Couvrir 70 % des flux nets en devises à terme."))</f>
        <v>Couvrir 70 % des flux nets en devises à terme.</v>
      </c>
      <c r="P36" s="69"/>
      <c r="Q36" s="69"/>
      <c r="S36" s="70" t="n">
        <v>0.05</v>
      </c>
      <c r="T36" s="70" t="n">
        <v>0.1</v>
      </c>
      <c r="U36" s="70" t="s">
        <v>372</v>
      </c>
      <c r="V36" s="71" t="s">
        <v>430</v>
      </c>
    </row>
    <row r="37" customFormat="false" ht="57.75" hidden="false" customHeight="true" outlineLevel="0" collapsed="false">
      <c r="B37" s="13" t="s">
        <v>431</v>
      </c>
      <c r="C37" s="62" t="s">
        <v>432</v>
      </c>
      <c r="D37" s="62"/>
      <c r="E37" s="62"/>
      <c r="F37" s="63" t="n">
        <f aca="false">INDEX($E$83:$P$83,$D$5)</f>
        <v>0.675364029928866</v>
      </c>
      <c r="G37" s="64" t="str">
        <f aca="false">"≤ "&amp;FIXED($S37*100,1)&amp;" %"</f>
        <v>≤ 60.0 %</v>
      </c>
      <c r="H37" s="65" t="str">
        <f aca="false">FIXED($S37*100,1)&amp;" %"&amp;" à "&amp;FIXED($T37*100,1)&amp;" %"</f>
        <v>60.0 % à 70.0 %</v>
      </c>
      <c r="I37" s="66" t="str">
        <f aca="false">"&gt; "&amp;FIXED($T37*100,1)&amp;" %"</f>
        <v>&gt; 70.0 %</v>
      </c>
      <c r="J37" s="67" t="str">
        <f aca="false">IF(ISNUMBER($F37),IF($F37&lt;=$S37,"● Conforme",IF($F37&lt;=$T37,"● Vigilance","● Alerte")),"—")</f>
        <v>● Vigilance</v>
      </c>
      <c r="K37" s="68" t="str">
        <f aca="false">IF(OR(NOT(ISNUMBER($F37)),$J37="—"),"—",IF($J37="● Conforme","Personnel "&amp;FIXED(($F37)*100,1)&amp;" %"&amp;" de la VA → il reste "&amp;FIXED((1-$F37)*100,1)&amp;" %"&amp;" de la VA pour l'État, les banques, l'investissement et les associés.","Écart +"&amp;FIXED(ABS($F37-$S37)*100,1)&amp;" pts"&amp;" → la VA créée est absorbée par les salaires → revenir au seuil exige +"&amp;FIXED((INDEX($E$52:$P$52,$D$5)/$S37-INDEX($E$47:$P$47,$D$5))/1000,0)&amp;" kMAD"&amp;" de VA/mois (prix, productivité)."))</f>
        <v>Écart +7.5 pts → la VA créée est absorbée par les salaires → revenir au seuil exige +773 kMAD de VA/mois (prix, productivité).</v>
      </c>
      <c r="L37" s="68"/>
      <c r="M37" s="68"/>
      <c r="N37" s="68"/>
      <c r="O37" s="69" t="str">
        <f aca="false">IF(NOT(ISNUMBER($F37)),"—",IF($J37="● Conforme","Investir le surplus de VA dans l'automatisation.","Gains de productivité (TRS machines) et révision tarifaire."))</f>
        <v>Gains de productivité (TRS machines) et révision tarifaire.</v>
      </c>
      <c r="P37" s="69"/>
      <c r="Q37" s="69"/>
      <c r="S37" s="70" t="n">
        <v>0.6</v>
      </c>
      <c r="T37" s="70" t="n">
        <v>0.7</v>
      </c>
      <c r="U37" s="70" t="s">
        <v>372</v>
      </c>
      <c r="V37" s="71" t="s">
        <v>399</v>
      </c>
    </row>
    <row r="38" customFormat="false" ht="57.75" hidden="false" customHeight="true" outlineLevel="0" collapsed="false">
      <c r="B38" s="13" t="s">
        <v>433</v>
      </c>
      <c r="C38" s="62" t="s">
        <v>434</v>
      </c>
      <c r="D38" s="62"/>
      <c r="E38" s="62"/>
      <c r="F38" s="63" t="n">
        <f aca="false">INDEX($E$84:$P$84,$D$5)</f>
        <v>0.450990873035775</v>
      </c>
      <c r="G38" s="64" t="str">
        <f aca="false">"≥ "&amp;FIXED($S38*100,1)&amp;" %"</f>
        <v>≥ 40.0 %</v>
      </c>
      <c r="H38" s="65" t="str">
        <f aca="false">FIXED($T38*100,1)&amp;" %"&amp;" à "&amp;FIXED($S38*100,1)&amp;" %"</f>
        <v>30.0 % à 40.0 %</v>
      </c>
      <c r="I38" s="66" t="str">
        <f aca="false">"&lt; "&amp;FIXED($T38*100,1)&amp;" %"</f>
        <v>&lt; 30.0 %</v>
      </c>
      <c r="J38" s="67" t="str">
        <f aca="false">IF(ISNUMBER($F38),IF($F38&gt;=$S38,"● Conforme",IF($F38&gt;=$T38,"● Vigilance","● Alerte")),"—")</f>
        <v>● Conforme</v>
      </c>
      <c r="K38" s="68" t="str">
        <f aca="false">IF(OR(NOT(ISNUMBER($F38)),$J38="—"),"—",IF($J38="● Conforme","Taux "&amp;FIXED(($F38)*100,1)&amp;" %"&amp;" ≥ "&amp;FIXED(($S38)*100,1)&amp;" %"&amp;" → intégration locale conforme aux objectifs de l'écosystème aéronautique marocain.","Taux "&amp;FIXED(($F38)*100,1)&amp;" %"&amp;" &lt; "&amp;FIXED(($S38)*100,1)&amp;" %"&amp;" → forte dépendance aux matières importées → localiser 5 % des achats = +"&amp;FIXED((INDEX($E$54:$P$54,$D$5)*0.05)/1000,0)&amp;" kMAD"&amp;" de VA/mois."))</f>
        <v>Taux 45.1 % ≥ 40.0 % → intégration locale conforme aux objectifs de l'écosystème aéronautique marocain.</v>
      </c>
      <c r="L38" s="68"/>
      <c r="M38" s="68"/>
      <c r="N38" s="68"/>
      <c r="O38" s="69" t="str">
        <f aca="false">IF(NOT(ISNUMBER($F38)),"—",IF($J38="● Conforme","Poursuivre la localisation fournisseurs.","Qualifier des fournisseurs locaux (traitements de surface, outillage)."))</f>
        <v>Poursuivre la localisation fournisseurs.</v>
      </c>
      <c r="P38" s="69"/>
      <c r="Q38" s="69"/>
      <c r="S38" s="70" t="n">
        <v>0.4</v>
      </c>
      <c r="T38" s="70" t="n">
        <v>0.3</v>
      </c>
      <c r="U38" s="70" t="s">
        <v>372</v>
      </c>
      <c r="V38" s="71" t="s">
        <v>402</v>
      </c>
    </row>
    <row r="39" customFormat="false" ht="30" hidden="false" customHeight="true" outlineLevel="0" collapsed="false">
      <c r="B39" s="32" t="s">
        <v>435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</row>
    <row r="41" customFormat="false" ht="24" hidden="false" customHeight="true" outlineLevel="0" collapsed="false">
      <c r="B41" s="6" t="s">
        <v>436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customFormat="false" ht="30" hidden="false" customHeight="true" outlineLevel="0" collapsed="false">
      <c r="B42" s="12" t="s">
        <v>364</v>
      </c>
      <c r="C42" s="12" t="s">
        <v>365</v>
      </c>
      <c r="D42" s="12" t="s">
        <v>65</v>
      </c>
      <c r="E42" s="12" t="s">
        <v>66</v>
      </c>
      <c r="F42" s="12" t="s">
        <v>67</v>
      </c>
      <c r="G42" s="12" t="s">
        <v>68</v>
      </c>
      <c r="H42" s="12" t="s">
        <v>69</v>
      </c>
      <c r="I42" s="12" t="s">
        <v>70</v>
      </c>
      <c r="J42" s="12" t="s">
        <v>71</v>
      </c>
      <c r="K42" s="12" t="s">
        <v>72</v>
      </c>
      <c r="L42" s="12" t="s">
        <v>73</v>
      </c>
      <c r="M42" s="12" t="s">
        <v>74</v>
      </c>
      <c r="N42" s="12" t="s">
        <v>75</v>
      </c>
      <c r="O42" s="12" t="s">
        <v>76</v>
      </c>
      <c r="P42" s="12" t="s">
        <v>77</v>
      </c>
      <c r="Q42" s="12" t="s">
        <v>437</v>
      </c>
    </row>
    <row r="43" customFormat="false" ht="15" hidden="false" customHeight="false" outlineLevel="0" collapsed="false">
      <c r="B43" s="78" t="s">
        <v>438</v>
      </c>
    </row>
    <row r="44" customFormat="false" ht="15" hidden="false" customHeight="false" outlineLevel="0" collapsed="false">
      <c r="B44" s="19" t="s">
        <v>216</v>
      </c>
      <c r="C44" s="35" t="s">
        <v>369</v>
      </c>
      <c r="D44" s="36" t="n">
        <f aca="false">CPC!D11</f>
        <v>11500000</v>
      </c>
      <c r="E44" s="79" t="n">
        <f aca="false">CPC!E11</f>
        <v>10800000</v>
      </c>
      <c r="F44" s="79" t="n">
        <f aca="false">CPC!F11</f>
        <v>11200000</v>
      </c>
      <c r="G44" s="79" t="n">
        <f aca="false">CPC!G11</f>
        <v>12400000</v>
      </c>
      <c r="H44" s="79" t="n">
        <f aca="false">CPC!H11</f>
        <v>11900000</v>
      </c>
      <c r="I44" s="79" t="n">
        <f aca="false">CPC!I11</f>
        <v>12600000</v>
      </c>
      <c r="J44" s="79" t="n">
        <f aca="false">CPC!J11</f>
        <v>12800000</v>
      </c>
      <c r="K44" s="79" t="n">
        <f aca="false">CPC!K11</f>
        <v>11600000</v>
      </c>
      <c r="L44" s="79" t="n">
        <f aca="false">CPC!L11</f>
        <v>7400000</v>
      </c>
      <c r="M44" s="79" t="n">
        <f aca="false">CPC!M11</f>
        <v>12100000</v>
      </c>
      <c r="N44" s="79" t="n">
        <f aca="false">CPC!N11</f>
        <v>12800000</v>
      </c>
      <c r="O44" s="79" t="n">
        <f aca="false">CPC!O11</f>
        <v>12300000</v>
      </c>
      <c r="P44" s="79" t="n">
        <f aca="false">CPC!P11</f>
        <v>14100000</v>
      </c>
      <c r="Q44" s="38" t="n">
        <f aca="false">SUM(E44:P44)</f>
        <v>142000000</v>
      </c>
    </row>
    <row r="45" customFormat="false" ht="15" hidden="false" customHeight="false" outlineLevel="0" collapsed="false">
      <c r="B45" s="19" t="s">
        <v>439</v>
      </c>
      <c r="C45" s="35" t="s">
        <v>369</v>
      </c>
      <c r="D45" s="36" t="n">
        <f aca="false">D44*($H$5+(1-$H$5)*(1+$J$5))</f>
        <v>12190000</v>
      </c>
      <c r="E45" s="79" t="n">
        <f aca="false">E44*($H$5+(1-$H$5)*(1+$J$5))</f>
        <v>11448000</v>
      </c>
      <c r="F45" s="79" t="n">
        <f aca="false">F44*($H$5+(1-$H$5)*(1+$J$5))</f>
        <v>11872000</v>
      </c>
      <c r="G45" s="79" t="n">
        <f aca="false">G44*($H$5+(1-$H$5)*(1+$J$5))</f>
        <v>13144000</v>
      </c>
      <c r="H45" s="79" t="n">
        <f aca="false">H44*($H$5+(1-$H$5)*(1+$J$5))</f>
        <v>12614000</v>
      </c>
      <c r="I45" s="79" t="n">
        <f aca="false">I44*($H$5+(1-$H$5)*(1+$J$5))</f>
        <v>13356000</v>
      </c>
      <c r="J45" s="79" t="n">
        <f aca="false">J44*($H$5+(1-$H$5)*(1+$J$5))</f>
        <v>13568000</v>
      </c>
      <c r="K45" s="79" t="n">
        <f aca="false">K44*($H$5+(1-$H$5)*(1+$J$5))</f>
        <v>12296000</v>
      </c>
      <c r="L45" s="79" t="n">
        <f aca="false">L44*($H$5+(1-$H$5)*(1+$J$5))</f>
        <v>7844000</v>
      </c>
      <c r="M45" s="79" t="n">
        <f aca="false">M44*($H$5+(1-$H$5)*(1+$J$5))</f>
        <v>12826000</v>
      </c>
      <c r="N45" s="79" t="n">
        <f aca="false">N44*($H$5+(1-$H$5)*(1+$J$5))</f>
        <v>13568000</v>
      </c>
      <c r="O45" s="79" t="n">
        <f aca="false">O44*($H$5+(1-$H$5)*(1+$J$5))</f>
        <v>13038000</v>
      </c>
      <c r="P45" s="79" t="n">
        <f aca="false">P44*($H$5+(1-$H$5)*(1+$J$5))</f>
        <v>14946000</v>
      </c>
      <c r="Q45" s="38" t="n">
        <f aca="false">SUM(E45:P45)</f>
        <v>150520000</v>
      </c>
    </row>
    <row r="46" customFormat="false" ht="15" hidden="false" customHeight="false" outlineLevel="0" collapsed="false">
      <c r="B46" s="19" t="s">
        <v>440</v>
      </c>
      <c r="C46" s="35" t="s">
        <v>369</v>
      </c>
      <c r="D46" s="36" t="n">
        <f aca="false">ESG!D14</f>
        <v>11551240.07</v>
      </c>
      <c r="E46" s="79" t="n">
        <f aca="false">ESG!E14</f>
        <v>10853966.87</v>
      </c>
      <c r="F46" s="79" t="n">
        <f aca="false">ESG!F14</f>
        <v>11352739.64</v>
      </c>
      <c r="G46" s="79" t="n">
        <f aca="false">ESG!G14</f>
        <v>12548632.72</v>
      </c>
      <c r="H46" s="79" t="n">
        <f aca="false">ESG!H14</f>
        <v>11951225.41</v>
      </c>
      <c r="I46" s="79" t="n">
        <f aca="false">ESG!I14</f>
        <v>12745248.7</v>
      </c>
      <c r="J46" s="79" t="n">
        <f aca="false">ESG!J14</f>
        <v>12845689.28</v>
      </c>
      <c r="K46" s="79" t="n">
        <f aca="false">ESG!K14</f>
        <v>11852262.87</v>
      </c>
      <c r="L46" s="79" t="n">
        <f aca="false">ESG!L14</f>
        <v>7568918.36</v>
      </c>
      <c r="M46" s="79" t="n">
        <f aca="false">ESG!M14</f>
        <v>11950274.06</v>
      </c>
      <c r="N46" s="79" t="n">
        <f aca="false">ESG!N14</f>
        <v>12845048.19</v>
      </c>
      <c r="O46" s="79" t="n">
        <f aca="false">ESG!O14</f>
        <v>12446525.13</v>
      </c>
      <c r="P46" s="79" t="n">
        <f aca="false">ESG!P14</f>
        <v>13641854.72</v>
      </c>
      <c r="Q46" s="38" t="n">
        <f aca="false">SUM(E46:P46)</f>
        <v>142602385.95</v>
      </c>
    </row>
    <row r="47" customFormat="false" ht="15" hidden="false" customHeight="false" outlineLevel="0" collapsed="false">
      <c r="B47" s="19" t="s">
        <v>441</v>
      </c>
      <c r="C47" s="35" t="s">
        <v>369</v>
      </c>
      <c r="D47" s="36" t="n">
        <f aca="false">ESG!D18</f>
        <v>5382187.85</v>
      </c>
      <c r="E47" s="79" t="n">
        <f aca="false">ESG!E18</f>
        <v>5169667.2</v>
      </c>
      <c r="F47" s="79" t="n">
        <f aca="false">ESG!F18</f>
        <v>5633560.53</v>
      </c>
      <c r="G47" s="79" t="n">
        <f aca="false">ESG!G18</f>
        <v>6259937.29</v>
      </c>
      <c r="H47" s="79" t="n">
        <f aca="false">ESG!H18</f>
        <v>5361457.21</v>
      </c>
      <c r="I47" s="79" t="n">
        <f aca="false">ESG!I18</f>
        <v>6112188.81</v>
      </c>
      <c r="J47" s="79" t="n">
        <f aca="false">ESG!J18</f>
        <v>6204176.93</v>
      </c>
      <c r="K47" s="79" t="n">
        <f aca="false">ESG!K18</f>
        <v>5812165.79</v>
      </c>
      <c r="L47" s="79" t="n">
        <f aca="false">ESG!L18</f>
        <v>3707489.67</v>
      </c>
      <c r="M47" s="79" t="n">
        <f aca="false">ESG!M18</f>
        <v>4844218.05</v>
      </c>
      <c r="N47" s="79" t="n">
        <f aca="false">ESG!N18</f>
        <v>5783954.58</v>
      </c>
      <c r="O47" s="79" t="n">
        <f aca="false">ESG!O18</f>
        <v>5738832.06</v>
      </c>
      <c r="P47" s="79" t="n">
        <f aca="false">ESG!P18</f>
        <v>6152351.97</v>
      </c>
      <c r="Q47" s="38" t="n">
        <f aca="false">SUM(E47:P47)</f>
        <v>66780000.09</v>
      </c>
    </row>
    <row r="48" customFormat="false" ht="15" hidden="false" customHeight="false" outlineLevel="0" collapsed="false">
      <c r="B48" s="19" t="s">
        <v>442</v>
      </c>
      <c r="C48" s="35" t="s">
        <v>369</v>
      </c>
      <c r="D48" s="36" t="n">
        <f aca="false">ESG!D22</f>
        <v>1274668.16</v>
      </c>
      <c r="E48" s="79" t="n">
        <f aca="false">ESG!E22</f>
        <v>1803119.55</v>
      </c>
      <c r="F48" s="79" t="n">
        <f aca="false">ESG!F22</f>
        <v>2264108.27</v>
      </c>
      <c r="G48" s="79" t="n">
        <f aca="false">ESG!G22</f>
        <v>2840621.74</v>
      </c>
      <c r="H48" s="79" t="n">
        <f aca="false">ESG!H22</f>
        <v>1964229.08</v>
      </c>
      <c r="I48" s="79" t="n">
        <f aca="false">ESG!I22</f>
        <v>2680767.27</v>
      </c>
      <c r="J48" s="79" t="n">
        <f aca="false">ESG!J22</f>
        <v>3061660.86</v>
      </c>
      <c r="K48" s="79" t="n">
        <f aca="false">ESG!K22</f>
        <v>2409770.73</v>
      </c>
      <c r="L48" s="79" t="n">
        <f aca="false">ESG!L22</f>
        <v>527038.83</v>
      </c>
      <c r="M48" s="79" t="n">
        <f aca="false">ESG!M22</f>
        <v>1408449.69</v>
      </c>
      <c r="N48" s="79" t="n">
        <f aca="false">ESG!N22</f>
        <v>2358918.56</v>
      </c>
      <c r="O48" s="79" t="n">
        <f aca="false">ESG!O22</f>
        <v>2338697.68</v>
      </c>
      <c r="P48" s="79" t="n">
        <f aca="false">ESG!P22</f>
        <v>2122617.85</v>
      </c>
      <c r="Q48" s="38" t="n">
        <f aca="false">SUM(E48:P48)</f>
        <v>25780000.11</v>
      </c>
    </row>
    <row r="49" customFormat="false" ht="15" hidden="false" customHeight="false" outlineLevel="0" collapsed="false">
      <c r="B49" s="19" t="s">
        <v>443</v>
      </c>
      <c r="C49" s="35" t="s">
        <v>369</v>
      </c>
      <c r="D49" s="36" t="n">
        <f aca="false">CPC!D27</f>
        <v>503001.5</v>
      </c>
      <c r="E49" s="79" t="n">
        <f aca="false">CPC!E27</f>
        <v>1111452.89</v>
      </c>
      <c r="F49" s="79" t="n">
        <f aca="false">CPC!F27</f>
        <v>1572441.61</v>
      </c>
      <c r="G49" s="79" t="n">
        <f aca="false">CPC!G27</f>
        <v>2298955.08</v>
      </c>
      <c r="H49" s="79" t="n">
        <f aca="false">CPC!H27</f>
        <v>1272562.42</v>
      </c>
      <c r="I49" s="79" t="n">
        <f aca="false">CPC!I27</f>
        <v>1989100.61</v>
      </c>
      <c r="J49" s="79" t="n">
        <f aca="false">CPC!J27</f>
        <v>2269994.2</v>
      </c>
      <c r="K49" s="79" t="n">
        <f aca="false">CPC!K27</f>
        <v>1718104.07</v>
      </c>
      <c r="L49" s="79" t="n">
        <f aca="false">CPC!L27</f>
        <v>-164627.83</v>
      </c>
      <c r="M49" s="79" t="n">
        <f aca="false">CPC!M27</f>
        <v>866783.030000001</v>
      </c>
      <c r="N49" s="79" t="n">
        <f aca="false">CPC!N27</f>
        <v>1667251.9</v>
      </c>
      <c r="O49" s="79" t="n">
        <f aca="false">CPC!O27</f>
        <v>1547031.02</v>
      </c>
      <c r="P49" s="79" t="n">
        <f aca="false">CPC!P27</f>
        <v>1330951.19</v>
      </c>
      <c r="Q49" s="38" t="n">
        <f aca="false">SUM(E49:P49)</f>
        <v>17480000.19</v>
      </c>
    </row>
    <row r="50" customFormat="false" ht="15" hidden="false" customHeight="false" outlineLevel="0" collapsed="false">
      <c r="B50" s="19" t="s">
        <v>444</v>
      </c>
      <c r="C50" s="35" t="s">
        <v>369</v>
      </c>
      <c r="D50" s="36" t="n">
        <f aca="false">CPC!D60</f>
        <v>206839.54</v>
      </c>
      <c r="E50" s="79" t="n">
        <f aca="false">CPC!E60</f>
        <v>735670.370000001</v>
      </c>
      <c r="F50" s="79" t="n">
        <f aca="false">CPC!F60</f>
        <v>1066687.78</v>
      </c>
      <c r="G50" s="79" t="n">
        <f aca="false">CPC!G60</f>
        <v>1066132.8</v>
      </c>
      <c r="H50" s="79" t="n">
        <f aca="false">CPC!H60</f>
        <v>855598.549999998</v>
      </c>
      <c r="I50" s="79" t="n">
        <f aca="false">CPC!I60</f>
        <v>1430961.95</v>
      </c>
      <c r="J50" s="79" t="n">
        <f aca="false">CPC!J60</f>
        <v>1681883.19</v>
      </c>
      <c r="K50" s="79" t="n">
        <f aca="false">CPC!K60</f>
        <v>1184822.39</v>
      </c>
      <c r="L50" s="79" t="n">
        <f aca="false">CPC!L60</f>
        <v>-397484.53</v>
      </c>
      <c r="M50" s="79" t="n">
        <f aca="false">CPC!M60</f>
        <v>357799.440000001</v>
      </c>
      <c r="N50" s="79" t="n">
        <f aca="false">CPC!N60</f>
        <v>1158549.93</v>
      </c>
      <c r="O50" s="79" t="n">
        <f aca="false">CPC!O60</f>
        <v>882966.75</v>
      </c>
      <c r="P50" s="79" t="n">
        <f aca="false">CPC!P60</f>
        <v>936411.550000001</v>
      </c>
      <c r="Q50" s="38" t="n">
        <f aca="false">SUM(E50:P50)</f>
        <v>10960000.17</v>
      </c>
    </row>
    <row r="51" customFormat="false" ht="15" hidden="false" customHeight="false" outlineLevel="0" collapsed="false">
      <c r="B51" s="19" t="s">
        <v>445</v>
      </c>
      <c r="C51" s="35" t="s">
        <v>369</v>
      </c>
      <c r="D51" s="36" t="n">
        <f aca="false">ESG!D43</f>
        <v>930172.87</v>
      </c>
      <c r="E51" s="79" t="n">
        <f aca="false">ESG!E43</f>
        <v>1459003.7</v>
      </c>
      <c r="F51" s="79" t="n">
        <f aca="false">ESG!F43</f>
        <v>1790021.11</v>
      </c>
      <c r="G51" s="79" t="n">
        <f aca="false">ESG!G43</f>
        <v>1789466.13</v>
      </c>
      <c r="H51" s="79" t="n">
        <f aca="false">ESG!H43</f>
        <v>1578931.88</v>
      </c>
      <c r="I51" s="79" t="n">
        <f aca="false">ESG!I43</f>
        <v>2154295.28</v>
      </c>
      <c r="J51" s="79" t="n">
        <f aca="false">ESG!J43</f>
        <v>2405216.52</v>
      </c>
      <c r="K51" s="79" t="n">
        <f aca="false">ESG!K43</f>
        <v>1908155.72</v>
      </c>
      <c r="L51" s="79" t="n">
        <f aca="false">ESG!L43</f>
        <v>325848.8</v>
      </c>
      <c r="M51" s="79" t="n">
        <f aca="false">ESG!M43</f>
        <v>1081132.77</v>
      </c>
      <c r="N51" s="79" t="n">
        <f aca="false">ESG!N43</f>
        <v>1831883.26</v>
      </c>
      <c r="O51" s="79" t="n">
        <f aca="false">ESG!O43</f>
        <v>1606300.08</v>
      </c>
      <c r="P51" s="79" t="n">
        <f aca="false">ESG!P43</f>
        <v>1659744.88</v>
      </c>
      <c r="Q51" s="38" t="n">
        <f aca="false">SUM(E51:P51)</f>
        <v>19590000.13</v>
      </c>
    </row>
    <row r="52" customFormat="false" ht="15" hidden="false" customHeight="false" outlineLevel="0" collapsed="false">
      <c r="B52" s="19" t="s">
        <v>237</v>
      </c>
      <c r="C52" s="35" t="s">
        <v>369</v>
      </c>
      <c r="D52" s="36" t="n">
        <f aca="false">CPC!D23</f>
        <v>3979693.92</v>
      </c>
      <c r="E52" s="79" t="n">
        <f aca="false">CPC!E23</f>
        <v>3242539.58</v>
      </c>
      <c r="F52" s="79" t="n">
        <f aca="false">CPC!F23</f>
        <v>3247018.72</v>
      </c>
      <c r="G52" s="79" t="n">
        <f aca="false">CPC!G23</f>
        <v>3298229.97</v>
      </c>
      <c r="H52" s="79" t="n">
        <f aca="false">CPC!H23</f>
        <v>3270907.53</v>
      </c>
      <c r="I52" s="79" t="n">
        <f aca="false">CPC!I23</f>
        <v>3300900.67</v>
      </c>
      <c r="J52" s="79" t="n">
        <f aca="false">CPC!J23</f>
        <v>3270750.3</v>
      </c>
      <c r="K52" s="79" t="n">
        <f aca="false">CPC!K23</f>
        <v>3275585.07</v>
      </c>
      <c r="L52" s="79" t="n">
        <f aca="false">CPC!L23</f>
        <v>3053295.78</v>
      </c>
      <c r="M52" s="79" t="n">
        <f aca="false">CPC!M23</f>
        <v>3311267.27</v>
      </c>
      <c r="N52" s="79" t="n">
        <f aca="false">CPC!N23</f>
        <v>3302635.23</v>
      </c>
      <c r="O52" s="79" t="n">
        <f aca="false">CPC!O23</f>
        <v>3271792.66</v>
      </c>
      <c r="P52" s="79" t="n">
        <f aca="false">CPC!P23</f>
        <v>4155077.22</v>
      </c>
      <c r="Q52" s="38" t="n">
        <f aca="false">SUM(E52:P52)</f>
        <v>40000000</v>
      </c>
    </row>
    <row r="53" customFormat="false" ht="15" hidden="false" customHeight="false" outlineLevel="0" collapsed="false">
      <c r="B53" s="19" t="s">
        <v>233</v>
      </c>
      <c r="C53" s="35" t="s">
        <v>369</v>
      </c>
      <c r="D53" s="36" t="n">
        <f aca="false">CPC!D21</f>
        <v>1158379.07</v>
      </c>
      <c r="E53" s="79" t="n">
        <f aca="false">CPC!E21</f>
        <v>1146545.96</v>
      </c>
      <c r="F53" s="79" t="n">
        <f aca="false">CPC!F21</f>
        <v>1122853.74</v>
      </c>
      <c r="G53" s="79" t="n">
        <f aca="false">CPC!G21</f>
        <v>1209678.12</v>
      </c>
      <c r="H53" s="79" t="n">
        <f aca="false">CPC!H21</f>
        <v>1164908.85</v>
      </c>
      <c r="I53" s="79" t="n">
        <f aca="false">CPC!I21</f>
        <v>1197993.68</v>
      </c>
      <c r="J53" s="79" t="n">
        <f aca="false">CPC!J21</f>
        <v>1185017.38</v>
      </c>
      <c r="K53" s="79" t="n">
        <f aca="false">CPC!K21</f>
        <v>1169684.75</v>
      </c>
      <c r="L53" s="79" t="n">
        <f aca="false">CPC!L21</f>
        <v>1007496.44</v>
      </c>
      <c r="M53" s="79" t="n">
        <f aca="false">CPC!M21</f>
        <v>1176719.23</v>
      </c>
      <c r="N53" s="79" t="n">
        <f aca="false">CPC!N21</f>
        <v>1216459.34</v>
      </c>
      <c r="O53" s="79" t="n">
        <f aca="false">CPC!O21</f>
        <v>1171142.69</v>
      </c>
      <c r="P53" s="79" t="n">
        <f aca="false">CPC!P21</f>
        <v>1231499.75</v>
      </c>
      <c r="Q53" s="38" t="n">
        <f aca="false">SUM(E53:P53)</f>
        <v>13999999.93</v>
      </c>
    </row>
    <row r="54" customFormat="false" ht="15" hidden="false" customHeight="false" outlineLevel="0" collapsed="false">
      <c r="B54" s="19" t="s">
        <v>231</v>
      </c>
      <c r="C54" s="35" t="s">
        <v>369</v>
      </c>
      <c r="D54" s="36" t="n">
        <f aca="false">CPC!D20</f>
        <v>5025676.6</v>
      </c>
      <c r="E54" s="79" t="n">
        <f aca="false">CPC!E20</f>
        <v>4551601.7</v>
      </c>
      <c r="F54" s="79" t="n">
        <f aca="false">CPC!F20</f>
        <v>4610348.87</v>
      </c>
      <c r="G54" s="79" t="n">
        <f aca="false">CPC!G20</f>
        <v>5093311.96</v>
      </c>
      <c r="H54" s="79" t="n">
        <f aca="false">CPC!H20</f>
        <v>5438438.98</v>
      </c>
      <c r="I54" s="79" t="n">
        <f aca="false">CPC!I20</f>
        <v>5452504.46</v>
      </c>
      <c r="J54" s="79" t="n">
        <f aca="false">CPC!J20</f>
        <v>5473004.56</v>
      </c>
      <c r="K54" s="79" t="n">
        <f aca="false">CPC!K20</f>
        <v>4884054.74</v>
      </c>
      <c r="L54" s="79" t="n">
        <f aca="false">CPC!L20</f>
        <v>2863299.06</v>
      </c>
      <c r="M54" s="79" t="n">
        <f aca="false">CPC!M20</f>
        <v>5943694.66</v>
      </c>
      <c r="N54" s="79" t="n">
        <f aca="false">CPC!N20</f>
        <v>5861655.37</v>
      </c>
      <c r="O54" s="79" t="n">
        <f aca="false">CPC!O20</f>
        <v>5553696.47</v>
      </c>
      <c r="P54" s="79" t="n">
        <f aca="false">CPC!P20</f>
        <v>6274389.15</v>
      </c>
      <c r="Q54" s="38" t="n">
        <f aca="false">SUM(E54:P54)</f>
        <v>61999999.98</v>
      </c>
    </row>
    <row r="55" customFormat="false" ht="15" hidden="false" customHeight="false" outlineLevel="0" collapsed="false">
      <c r="B55" s="19" t="s">
        <v>446</v>
      </c>
      <c r="C55" s="35" t="s">
        <v>369</v>
      </c>
      <c r="D55" s="36" t="n">
        <f aca="false">CPC!D40</f>
        <v>395047.51</v>
      </c>
      <c r="E55" s="79" t="n">
        <f aca="false">CPC!E40</f>
        <v>341447.57</v>
      </c>
      <c r="F55" s="79" t="n">
        <f aca="false">CPC!F40</f>
        <v>369135.21</v>
      </c>
      <c r="G55" s="79" t="n">
        <f aca="false">CPC!G40</f>
        <v>1037678.39</v>
      </c>
      <c r="H55" s="79" t="n">
        <f aca="false">CPC!H40</f>
        <v>384189.39</v>
      </c>
      <c r="I55" s="79" t="n">
        <f aca="false">CPC!I40</f>
        <v>362002.78</v>
      </c>
      <c r="J55" s="79" t="n">
        <f aca="false">CPC!J40</f>
        <v>339526.79</v>
      </c>
      <c r="K55" s="79" t="n">
        <f aca="false">CPC!K40</f>
        <v>377909.57</v>
      </c>
      <c r="L55" s="79" t="n">
        <f aca="false">CPC!L40</f>
        <v>318350.72</v>
      </c>
      <c r="M55" s="79" t="n">
        <f aca="false">CPC!M40</f>
        <v>400673.78</v>
      </c>
      <c r="N55" s="79" t="n">
        <f aca="false">CPC!N40</f>
        <v>420760.96</v>
      </c>
      <c r="O55" s="79" t="n">
        <f aca="false">CPC!O40</f>
        <v>464698.72</v>
      </c>
      <c r="P55" s="79" t="n">
        <f aca="false">CPC!P40</f>
        <v>333626.11</v>
      </c>
      <c r="Q55" s="38" t="n">
        <f aca="false">SUM(E55:P55)</f>
        <v>5149999.99</v>
      </c>
    </row>
    <row r="56" customFormat="false" ht="15" hidden="false" customHeight="false" outlineLevel="0" collapsed="false">
      <c r="B56" s="19" t="s">
        <v>447</v>
      </c>
      <c r="C56" s="35" t="s">
        <v>369</v>
      </c>
      <c r="D56" s="36" t="n">
        <f aca="false">CPC!D36</f>
        <v>282826.99</v>
      </c>
      <c r="E56" s="79" t="n">
        <f aca="false">CPC!E36</f>
        <v>280012.79</v>
      </c>
      <c r="F56" s="79" t="n">
        <f aca="false">CPC!F36</f>
        <v>277198.59</v>
      </c>
      <c r="G56" s="79" t="n">
        <f aca="false">CPC!G36</f>
        <v>274384.39</v>
      </c>
      <c r="H56" s="79" t="n">
        <f aca="false">CPC!H36</f>
        <v>271570.2</v>
      </c>
      <c r="I56" s="79" t="n">
        <f aca="false">CPC!I36</f>
        <v>268756</v>
      </c>
      <c r="J56" s="79" t="n">
        <f aca="false">CPC!J36</f>
        <v>265941.8</v>
      </c>
      <c r="K56" s="79" t="n">
        <f aca="false">CPC!K36</f>
        <v>265685.96</v>
      </c>
      <c r="L56" s="79" t="n">
        <f aca="false">CPC!L36</f>
        <v>270546.85</v>
      </c>
      <c r="M56" s="79" t="n">
        <f aca="false">CPC!M36</f>
        <v>267732.65</v>
      </c>
      <c r="N56" s="79" t="n">
        <f aca="false">CPC!N36</f>
        <v>257243.36</v>
      </c>
      <c r="O56" s="79" t="n">
        <f aca="false">CPC!O36</f>
        <v>251870.8</v>
      </c>
      <c r="P56" s="79" t="n">
        <f aca="false">CPC!P36</f>
        <v>249056.6</v>
      </c>
      <c r="Q56" s="38" t="n">
        <f aca="false">SUM(E56:P56)</f>
        <v>3199999.99</v>
      </c>
    </row>
    <row r="57" customFormat="false" ht="15" hidden="false" customHeight="false" outlineLevel="0" collapsed="false">
      <c r="B57" s="19" t="s">
        <v>448</v>
      </c>
      <c r="C57" s="35" t="s">
        <v>369</v>
      </c>
      <c r="D57" s="36" t="n">
        <f aca="false">CPC!D31</f>
        <v>120000</v>
      </c>
      <c r="E57" s="79" t="n">
        <f aca="false">CPC!E31</f>
        <v>120000</v>
      </c>
      <c r="F57" s="79" t="n">
        <f aca="false">CPC!F31</f>
        <v>100000</v>
      </c>
      <c r="G57" s="79" t="n">
        <f aca="false">CPC!G31</f>
        <v>40000</v>
      </c>
      <c r="H57" s="79" t="n">
        <f aca="false">CPC!H31</f>
        <v>150000</v>
      </c>
      <c r="I57" s="79" t="n">
        <f aca="false">CPC!I31</f>
        <v>130000</v>
      </c>
      <c r="J57" s="79" t="n">
        <f aca="false">CPC!J31</f>
        <v>140000</v>
      </c>
      <c r="K57" s="79" t="n">
        <f aca="false">CPC!K31</f>
        <v>110000</v>
      </c>
      <c r="L57" s="79" t="n">
        <f aca="false">CPC!L31</f>
        <v>60000</v>
      </c>
      <c r="M57" s="79" t="n">
        <f aca="false">CPC!M31</f>
        <v>150000</v>
      </c>
      <c r="N57" s="79" t="n">
        <f aca="false">CPC!N31</f>
        <v>120000</v>
      </c>
      <c r="O57" s="79" t="n">
        <f aca="false">CPC!O31</f>
        <v>140000</v>
      </c>
      <c r="P57" s="79" t="n">
        <f aca="false">CPC!P31</f>
        <v>140000</v>
      </c>
      <c r="Q57" s="38" t="n">
        <f aca="false">SUM(E57:P57)</f>
        <v>1400000</v>
      </c>
    </row>
    <row r="58" customFormat="false" ht="15" hidden="false" customHeight="false" outlineLevel="0" collapsed="false">
      <c r="B58" s="19" t="s">
        <v>449</v>
      </c>
      <c r="C58" s="35" t="s">
        <v>369</v>
      </c>
      <c r="D58" s="36" t="n">
        <f aca="false">CPC!D37</f>
        <v>100000</v>
      </c>
      <c r="E58" s="79" t="n">
        <f aca="false">CPC!E37</f>
        <v>50000</v>
      </c>
      <c r="F58" s="79" t="n">
        <f aca="false">CPC!F37</f>
        <v>80000</v>
      </c>
      <c r="G58" s="79" t="n">
        <f aca="false">CPC!G37</f>
        <v>750000</v>
      </c>
      <c r="H58" s="79" t="n">
        <f aca="false">CPC!H37</f>
        <v>100000</v>
      </c>
      <c r="I58" s="79" t="n">
        <f aca="false">CPC!I37</f>
        <v>80000</v>
      </c>
      <c r="J58" s="79" t="n">
        <f aca="false">CPC!J37</f>
        <v>60000</v>
      </c>
      <c r="K58" s="79" t="n">
        <f aca="false">CPC!K37</f>
        <v>100000</v>
      </c>
      <c r="L58" s="79" t="n">
        <f aca="false">CPC!L37</f>
        <v>40000</v>
      </c>
      <c r="M58" s="79" t="n">
        <f aca="false">CPC!M37</f>
        <v>120000</v>
      </c>
      <c r="N58" s="79" t="n">
        <f aca="false">CPC!N37</f>
        <v>150000</v>
      </c>
      <c r="O58" s="79" t="n">
        <f aca="false">CPC!O37</f>
        <v>200000</v>
      </c>
      <c r="P58" s="79" t="n">
        <f aca="false">CPC!P37</f>
        <v>70000</v>
      </c>
      <c r="Q58" s="38" t="n">
        <f aca="false">SUM(E58:P58)</f>
        <v>1800000</v>
      </c>
    </row>
    <row r="59" customFormat="false" ht="15" hidden="false" customHeight="false" outlineLevel="0" collapsed="false">
      <c r="B59" s="19" t="s">
        <v>450</v>
      </c>
      <c r="C59" s="35" t="s">
        <v>369</v>
      </c>
      <c r="D59" s="36" t="n">
        <f aca="false">(SUMPRODUCT(((LEFT(Balance!$B$7:$B$400,3)="612"))*Balance!D$7:D$400)-SUMPRODUCT(((LEFT(Balance!$B$7:$B$400,4)="6124"))*Balance!D$7:D$400)+SUMPRODUCT(((LEFT(Balance!$B$7:$B$400,3)="613")+(LEFT(Balance!$B$7:$B$400,3)="614"))*Balance!D$7:D$400))*(1+$J$5)</f>
        <v>7540866.804</v>
      </c>
      <c r="E59" s="79" t="n">
        <f aca="false">(SUMPRODUCT(((LEFT(Balance!$B$7:$B$400,3)="612"))*Balance!E$7:E$400)-SUMPRODUCT(((LEFT(Balance!$B$7:$B$400,4)="6124"))*Balance!E$7:E$400)+SUMPRODUCT(((LEFT(Balance!$B$7:$B$400,3)="613")+(LEFT(Balance!$B$7:$B$400,3)="614"))*Balance!E$7:E$400))*(1+$J$5)</f>
        <v>7077777.192</v>
      </c>
      <c r="F59" s="79" t="n">
        <f aca="false">(SUMPRODUCT(((LEFT(Balance!$B$7:$B$400,3)="612"))*Balance!F$7:F$400)-SUMPRODUCT(((LEFT(Balance!$B$7:$B$400,4)="6124"))*Balance!F$7:F$400)+SUMPRODUCT(((LEFT(Balance!$B$7:$B$400,3)="613")+(LEFT(Balance!$B$7:$B$400,3)="614"))*Balance!F$7:F$400))*(1+$J$5)</f>
        <v>7239843.132</v>
      </c>
      <c r="G59" s="79" t="n">
        <f aca="false">(SUMPRODUCT(((LEFT(Balance!$B$7:$B$400,3)="612"))*Balance!G$7:G$400)-SUMPRODUCT(((LEFT(Balance!$B$7:$B$400,4)="6124"))*Balance!G$7:G$400)+SUMPRODUCT(((LEFT(Balance!$B$7:$B$400,3)="613")+(LEFT(Balance!$B$7:$B$400,3)="614"))*Balance!G$7:G$400))*(1+$J$5)</f>
        <v>7923588.096</v>
      </c>
      <c r="H59" s="79" t="n">
        <f aca="false">(SUMPRODUCT(((LEFT(Balance!$B$7:$B$400,3)="612"))*Balance!H$7:H$400)-SUMPRODUCT(((LEFT(Balance!$B$7:$B$400,4)="6124"))*Balance!H$7:H$400)+SUMPRODUCT(((LEFT(Balance!$B$7:$B$400,3)="613")+(LEFT(Balance!$B$7:$B$400,3)="614"))*Balance!H$7:H$400))*(1+$J$5)</f>
        <v>7684017.396</v>
      </c>
      <c r="I59" s="79" t="n">
        <f aca="false">(SUMPRODUCT(((LEFT(Balance!$B$7:$B$400,3)="612"))*Balance!I$7:I$400)-SUMPRODUCT(((LEFT(Balance!$B$7:$B$400,4)="6124"))*Balance!I$7:I$400)+SUMPRODUCT(((LEFT(Balance!$B$7:$B$400,3)="613")+(LEFT(Balance!$B$7:$B$400,3)="614"))*Balance!I$7:I$400))*(1+$J$5)</f>
        <v>8100597.768</v>
      </c>
      <c r="J59" s="79" t="n">
        <f aca="false">(SUMPRODUCT(((LEFT(Balance!$B$7:$B$400,3)="612"))*Balance!J$7:J$400)-SUMPRODUCT(((LEFT(Balance!$B$7:$B$400,4)="6124"))*Balance!J$7:J$400)+SUMPRODUCT(((LEFT(Balance!$B$7:$B$400,3)="613")+(LEFT(Balance!$B$7:$B$400,3)="614"))*Balance!J$7:J$400))*(1+$J$5)</f>
        <v>8229626.328</v>
      </c>
      <c r="K59" s="79" t="n">
        <f aca="false">(SUMPRODUCT(((LEFT(Balance!$B$7:$B$400,3)="612"))*Balance!K$7:K$400)-SUMPRODUCT(((LEFT(Balance!$B$7:$B$400,4)="6124"))*Balance!K$7:K$400)+SUMPRODUCT(((LEFT(Balance!$B$7:$B$400,3)="613")+(LEFT(Balance!$B$7:$B$400,3)="614"))*Balance!K$7:K$400))*(1+$J$5)</f>
        <v>7504487.388</v>
      </c>
      <c r="L59" s="79" t="n">
        <f aca="false">(SUMPRODUCT(((LEFT(Balance!$B$7:$B$400,3)="612"))*Balance!L$7:L$400)-SUMPRODUCT(((LEFT(Balance!$B$7:$B$400,4)="6124"))*Balance!L$7:L$400)+SUMPRODUCT(((LEFT(Balance!$B$7:$B$400,3)="613")+(LEFT(Balance!$B$7:$B$400,3)="614"))*Balance!L$7:L$400))*(1+$J$5)</f>
        <v>5244954.6</v>
      </c>
      <c r="M59" s="79" t="n">
        <f aca="false">(SUMPRODUCT(((LEFT(Balance!$B$7:$B$400,3)="612"))*Balance!M$7:M$400)-SUMPRODUCT(((LEFT(Balance!$B$7:$B$400,4)="6124"))*Balance!M$7:M$400)+SUMPRODUCT(((LEFT(Balance!$B$7:$B$400,3)="613")+(LEFT(Balance!$B$7:$B$400,3)="614"))*Balance!M$7:M$400))*(1+$J$5)</f>
        <v>7824496.668</v>
      </c>
      <c r="N59" s="79" t="n">
        <f aca="false">(SUMPRODUCT(((LEFT(Balance!$B$7:$B$400,3)="612"))*Balance!N$7:N$400)-SUMPRODUCT(((LEFT(Balance!$B$7:$B$400,4)="6124"))*Balance!N$7:N$400)+SUMPRODUCT(((LEFT(Balance!$B$7:$B$400,3)="613")+(LEFT(Balance!$B$7:$B$400,3)="614"))*Balance!N$7:N$400))*(1+$J$5)</f>
        <v>8133737.652</v>
      </c>
      <c r="O59" s="79" t="n">
        <f aca="false">(SUMPRODUCT(((LEFT(Balance!$B$7:$B$400,3)="612"))*Balance!O$7:O$400)-SUMPRODUCT(((LEFT(Balance!$B$7:$B$400,4)="6124"))*Balance!O$7:O$400)+SUMPRODUCT(((LEFT(Balance!$B$7:$B$400,3)="613")+(LEFT(Balance!$B$7:$B$400,3)="614"))*Balance!O$7:O$400))*(1+$J$5)</f>
        <v>7829806.992</v>
      </c>
      <c r="P59" s="79" t="n">
        <f aca="false">(SUMPRODUCT(((LEFT(Balance!$B$7:$B$400,3)="612"))*Balance!P$7:P$400)-SUMPRODUCT(((LEFT(Balance!$B$7:$B$400,4)="6124"))*Balance!P$7:P$400)+SUMPRODUCT(((LEFT(Balance!$B$7:$B$400,3)="613")+(LEFT(Balance!$B$7:$B$400,3)="614"))*Balance!P$7:P$400))*(1+$J$5)</f>
        <v>8767066.68</v>
      </c>
      <c r="Q59" s="38" t="n">
        <f aca="false">SUM(E59:P59)</f>
        <v>91559999.892</v>
      </c>
    </row>
    <row r="60" customFormat="false" ht="15" hidden="false" customHeight="false" outlineLevel="0" collapsed="false">
      <c r="B60" s="19" t="s">
        <v>451</v>
      </c>
      <c r="C60" s="35" t="s">
        <v>369</v>
      </c>
      <c r="D60" s="36" t="n">
        <f aca="false">SUMPRODUCT(((LEFT(Balance!$B$7:$B$400,2)="31"))*Balance!D$7:D$400)</f>
        <v>15800000</v>
      </c>
      <c r="E60" s="79" t="n">
        <f aca="false">SUMPRODUCT(((LEFT(Balance!$B$7:$B$400,2)="31"))*Balance!E$7:E$400)</f>
        <v>16100000</v>
      </c>
      <c r="F60" s="79" t="n">
        <f aca="false">SUMPRODUCT(((LEFT(Balance!$B$7:$B$400,2)="31"))*Balance!F$7:F$400)</f>
        <v>16600000</v>
      </c>
      <c r="G60" s="79" t="n">
        <f aca="false">SUMPRODUCT(((LEFT(Balance!$B$7:$B$400,2)="31"))*Balance!G$7:G$400)</f>
        <v>17100000</v>
      </c>
      <c r="H60" s="79" t="n">
        <f aca="false">SUMPRODUCT(((LEFT(Balance!$B$7:$B$400,2)="31"))*Balance!H$7:H$400)</f>
        <v>17000000</v>
      </c>
      <c r="I60" s="79" t="n">
        <f aca="false">SUMPRODUCT(((LEFT(Balance!$B$7:$B$400,2)="31"))*Balance!I$7:I$400)</f>
        <v>17300000</v>
      </c>
      <c r="J60" s="79" t="n">
        <f aca="false">SUMPRODUCT(((LEFT(Balance!$B$7:$B$400,2)="31"))*Balance!J$7:J$400)</f>
        <v>17600000</v>
      </c>
      <c r="K60" s="79" t="n">
        <f aca="false">SUMPRODUCT(((LEFT(Balance!$B$7:$B$400,2)="31"))*Balance!K$7:K$400)</f>
        <v>18100000</v>
      </c>
      <c r="L60" s="79" t="n">
        <f aca="false">SUMPRODUCT(((LEFT(Balance!$B$7:$B$400,2)="31"))*Balance!L$7:L$400)</f>
        <v>18800000</v>
      </c>
      <c r="M60" s="79" t="n">
        <f aca="false">SUMPRODUCT(((LEFT(Balance!$B$7:$B$400,2)="31"))*Balance!M$7:M$400)</f>
        <v>18100000</v>
      </c>
      <c r="N60" s="79" t="n">
        <f aca="false">SUMPRODUCT(((LEFT(Balance!$B$7:$B$400,2)="31"))*Balance!N$7:N$400)</f>
        <v>17900000</v>
      </c>
      <c r="O60" s="79" t="n">
        <f aca="false">SUMPRODUCT(((LEFT(Balance!$B$7:$B$400,2)="31"))*Balance!O$7:O$400)</f>
        <v>17900000</v>
      </c>
      <c r="P60" s="79" t="n">
        <f aca="false">SUMPRODUCT(((LEFT(Balance!$B$7:$B$400,2)="31"))*Balance!P$7:P$400)</f>
        <v>17300000</v>
      </c>
      <c r="Q60" s="38" t="n">
        <f aca="false">P60</f>
        <v>17300000</v>
      </c>
    </row>
    <row r="61" customFormat="false" ht="15" hidden="false" customHeight="false" outlineLevel="0" collapsed="false">
      <c r="B61" s="19" t="s">
        <v>452</v>
      </c>
      <c r="C61" s="35" t="s">
        <v>369</v>
      </c>
      <c r="D61" s="36" t="n">
        <f aca="false">SUMPRODUCT(((LEFT(Balance!$B$7:$B$400,3)="342"))*Balance!D$7:D$400)</f>
        <v>32617000</v>
      </c>
      <c r="E61" s="79" t="n">
        <f aca="false">SUMPRODUCT(((LEFT(Balance!$B$7:$B$400,3)="342"))*Balance!E$7:E$400)</f>
        <v>31398000</v>
      </c>
      <c r="F61" s="79" t="n">
        <f aca="false">SUMPRODUCT(((LEFT(Balance!$B$7:$B$400,3)="342"))*Balance!F$7:F$400)</f>
        <v>30815000</v>
      </c>
      <c r="G61" s="79" t="n">
        <f aca="false">SUMPRODUCT(((LEFT(Balance!$B$7:$B$400,3)="342"))*Balance!G$7:G$400)</f>
        <v>32140000</v>
      </c>
      <c r="H61" s="79" t="n">
        <f aca="false">SUMPRODUCT(((LEFT(Balance!$B$7:$B$400,3)="342"))*Balance!H$7:H$400)</f>
        <v>33094000</v>
      </c>
      <c r="I61" s="79" t="n">
        <f aca="false">SUMPRODUCT(((LEFT(Balance!$B$7:$B$400,3)="342"))*Balance!I$7:I$400)</f>
        <v>33942000</v>
      </c>
      <c r="J61" s="79" t="n">
        <f aca="false">SUMPRODUCT(((LEFT(Balance!$B$7:$B$400,3)="342"))*Balance!J$7:J$400)</f>
        <v>34631000</v>
      </c>
      <c r="K61" s="79" t="n">
        <f aca="false">SUMPRODUCT(((LEFT(Balance!$B$7:$B$400,3)="342"))*Balance!K$7:K$400)</f>
        <v>33942000</v>
      </c>
      <c r="L61" s="79" t="n">
        <f aca="false">SUMPRODUCT(((LEFT(Balance!$B$7:$B$400,3)="342"))*Balance!L$7:L$400)</f>
        <v>28324000</v>
      </c>
      <c r="M61" s="79" t="n">
        <f aca="false">SUMPRODUCT(((LEFT(Balance!$B$7:$B$400,3)="342"))*Balance!M$7:M$400)</f>
        <v>28218000</v>
      </c>
      <c r="N61" s="79" t="n">
        <f aca="false">SUMPRODUCT(((LEFT(Balance!$B$7:$B$400,3)="342"))*Balance!N$7:N$400)</f>
        <v>31716000</v>
      </c>
      <c r="O61" s="79" t="n">
        <f aca="false">SUMPRODUCT(((LEFT(Balance!$B$7:$B$400,3)="342"))*Balance!O$7:O$400)</f>
        <v>34419000</v>
      </c>
      <c r="P61" s="79" t="n">
        <f aca="false">SUMPRODUCT(((LEFT(Balance!$B$7:$B$400,3)="342"))*Balance!P$7:P$400)</f>
        <v>36168000</v>
      </c>
      <c r="Q61" s="38" t="n">
        <f aca="false">P61</f>
        <v>36168000</v>
      </c>
    </row>
    <row r="62" customFormat="false" ht="15" hidden="false" customHeight="false" outlineLevel="0" collapsed="false">
      <c r="B62" s="19" t="s">
        <v>453</v>
      </c>
      <c r="C62" s="35" t="s">
        <v>369</v>
      </c>
      <c r="D62" s="36" t="n">
        <f aca="false">-SUMPRODUCT(((LEFT(Balance!$B$7:$B$400,3)="441"))*Balance!D$7:D$400)</f>
        <v>21151544.66</v>
      </c>
      <c r="E62" s="79" t="n">
        <f aca="false">-SUMPRODUCT(((LEFT(Balance!$B$7:$B$400,3)="441"))*Balance!E$7:E$400)</f>
        <v>20663586.42</v>
      </c>
      <c r="F62" s="79" t="n">
        <f aca="false">-SUMPRODUCT(((LEFT(Balance!$B$7:$B$400,3)="441"))*Balance!F$7:F$400)</f>
        <v>20302889.82</v>
      </c>
      <c r="G62" s="79" t="n">
        <f aca="false">-SUMPRODUCT(((LEFT(Balance!$B$7:$B$400,3)="441"))*Balance!G$7:G$400)</f>
        <v>20776587.18</v>
      </c>
      <c r="H62" s="79" t="n">
        <f aca="false">-SUMPRODUCT(((LEFT(Balance!$B$7:$B$400,3)="441"))*Balance!H$7:H$400)</f>
        <v>21380222.51</v>
      </c>
      <c r="I62" s="79" t="n">
        <f aca="false">-SUMPRODUCT(((LEFT(Balance!$B$7:$B$400,3)="441"))*Balance!I$7:I$400)</f>
        <v>22062638.21</v>
      </c>
      <c r="J62" s="79" t="n">
        <f aca="false">-SUMPRODUCT(((LEFT(Balance!$B$7:$B$400,3)="441"))*Balance!J$7:J$400)</f>
        <v>22301405.76</v>
      </c>
      <c r="K62" s="79" t="n">
        <f aca="false">-SUMPRODUCT(((LEFT(Balance!$B$7:$B$400,3)="441"))*Balance!K$7:K$400)</f>
        <v>22116818.17</v>
      </c>
      <c r="L62" s="79" t="n">
        <f aca="false">-SUMPRODUCT(((LEFT(Balance!$B$7:$B$400,3)="441"))*Balance!L$7:L$400)</f>
        <v>19103386.83</v>
      </c>
      <c r="M62" s="79" t="n">
        <f aca="false">-SUMPRODUCT(((LEFT(Balance!$B$7:$B$400,3)="441"))*Balance!M$7:M$400)</f>
        <v>19054444</v>
      </c>
      <c r="N62" s="79" t="n">
        <f aca="false">-SUMPRODUCT(((LEFT(Balance!$B$7:$B$400,3)="441"))*Balance!N$7:N$400)</f>
        <v>20305947.03</v>
      </c>
      <c r="O62" s="79" t="n">
        <f aca="false">-SUMPRODUCT(((LEFT(Balance!$B$7:$B$400,3)="441"))*Balance!O$7:O$400)</f>
        <v>22152796.29</v>
      </c>
      <c r="P62" s="79" t="n">
        <f aca="false">-SUMPRODUCT(((LEFT(Balance!$B$7:$B$400,3)="441"))*Balance!P$7:P$400)</f>
        <v>23020279.36</v>
      </c>
      <c r="Q62" s="38" t="n">
        <f aca="false">P62</f>
        <v>23020279.36</v>
      </c>
    </row>
    <row r="63" customFormat="false" ht="15" hidden="false" customHeight="false" outlineLevel="0" collapsed="false">
      <c r="B63" s="19" t="s">
        <v>454</v>
      </c>
      <c r="C63" s="35" t="s">
        <v>369</v>
      </c>
      <c r="D63" s="36" t="n">
        <f aca="false">SUMPRODUCT(((LEFT(Balance!$B$7:$B$400,2)="31")+(LEFT(Balance!$B$7:$B$400,2)="34")+(LEFT(Balance!$B$7:$B$400,2)="39")+(LEFT(Balance!$B$7:$B$400,2)="44"))*Balance!D$7:D$400)</f>
        <v>23270357.1</v>
      </c>
      <c r="E63" s="79" t="n">
        <f aca="false">SUMPRODUCT(((LEFT(Balance!$B$7:$B$400,2)="31")+(LEFT(Balance!$B$7:$B$400,2)="34")+(LEFT(Balance!$B$7:$B$400,2)="39")+(LEFT(Balance!$B$7:$B$400,2)="44"))*Balance!E$7:E$400)</f>
        <v>22971419.19</v>
      </c>
      <c r="F63" s="79" t="n">
        <f aca="false">SUMPRODUCT(((LEFT(Balance!$B$7:$B$400,2)="31")+(LEFT(Balance!$B$7:$B$400,2)="34")+(LEFT(Balance!$B$7:$B$400,2)="39")+(LEFT(Balance!$B$7:$B$400,2)="44"))*Balance!F$7:F$400)</f>
        <v>22826459.4</v>
      </c>
      <c r="G63" s="79" t="n">
        <f aca="false">SUMPRODUCT(((LEFT(Balance!$B$7:$B$400,2)="31")+(LEFT(Balance!$B$7:$B$400,2)="34")+(LEFT(Balance!$B$7:$B$400,2)="39")+(LEFT(Balance!$B$7:$B$400,2)="44"))*Balance!G$7:G$400)</f>
        <v>24635769.03</v>
      </c>
      <c r="H63" s="79" t="n">
        <f aca="false">SUMPRODUCT(((LEFT(Balance!$B$7:$B$400,2)="31")+(LEFT(Balance!$B$7:$B$400,2)="34")+(LEFT(Balance!$B$7:$B$400,2)="39")+(LEFT(Balance!$B$7:$B$400,2)="44"))*Balance!H$7:H$400)</f>
        <v>20177037.8</v>
      </c>
      <c r="I63" s="79" t="n">
        <f aca="false">SUMPRODUCT(((LEFT(Balance!$B$7:$B$400,2)="31")+(LEFT(Balance!$B$7:$B$400,2)="34")+(LEFT(Balance!$B$7:$B$400,2)="39")+(LEFT(Balance!$B$7:$B$400,2)="44"))*Balance!I$7:I$400)</f>
        <v>22488338.34</v>
      </c>
      <c r="J63" s="79" t="n">
        <f aca="false">SUMPRODUCT(((LEFT(Balance!$B$7:$B$400,2)="31")+(LEFT(Balance!$B$7:$B$400,2)="34")+(LEFT(Balance!$B$7:$B$400,2)="39")+(LEFT(Balance!$B$7:$B$400,2)="44"))*Balance!J$7:J$400)</f>
        <v>25435351.59</v>
      </c>
      <c r="K63" s="79" t="n">
        <f aca="false">SUMPRODUCT(((LEFT(Balance!$B$7:$B$400,2)="31")+(LEFT(Balance!$B$7:$B$400,2)="34")+(LEFT(Balance!$B$7:$B$400,2)="39")+(LEFT(Balance!$B$7:$B$400,2)="44"))*Balance!K$7:K$400)</f>
        <v>25167606.4</v>
      </c>
      <c r="L63" s="79" t="n">
        <f aca="false">SUMPRODUCT(((LEFT(Balance!$B$7:$B$400,2)="31")+(LEFT(Balance!$B$7:$B$400,2)="34")+(LEFT(Balance!$B$7:$B$400,2)="39")+(LEFT(Balance!$B$7:$B$400,2)="44"))*Balance!L$7:L$400)</f>
        <v>23482154.31</v>
      </c>
      <c r="M63" s="79" t="n">
        <f aca="false">SUMPRODUCT(((LEFT(Balance!$B$7:$B$400,2)="31")+(LEFT(Balance!$B$7:$B$400,2)="34")+(LEFT(Balance!$B$7:$B$400,2)="39")+(LEFT(Balance!$B$7:$B$400,2)="44"))*Balance!M$7:M$400)</f>
        <v>21179930.12</v>
      </c>
      <c r="N63" s="79" t="n">
        <f aca="false">SUMPRODUCT(((LEFT(Balance!$B$7:$B$400,2)="31")+(LEFT(Balance!$B$7:$B$400,2)="34")+(LEFT(Balance!$B$7:$B$400,2)="39")+(LEFT(Balance!$B$7:$B$400,2)="44"))*Balance!N$7:N$400)</f>
        <v>24875457.98</v>
      </c>
      <c r="O63" s="79" t="n">
        <f aca="false">SUMPRODUCT(((LEFT(Balance!$B$7:$B$400,2)="31")+(LEFT(Balance!$B$7:$B$400,2)="34")+(LEFT(Balance!$B$7:$B$400,2)="39")+(LEFT(Balance!$B$7:$B$400,2)="44"))*Balance!O$7:O$400)</f>
        <v>25567835.33</v>
      </c>
      <c r="P63" s="79" t="n">
        <f aca="false">SUMPRODUCT(((LEFT(Balance!$B$7:$B$400,2)="31")+(LEFT(Balance!$B$7:$B$400,2)="34")+(LEFT(Balance!$B$7:$B$400,2)="39")+(LEFT(Balance!$B$7:$B$400,2)="44"))*Balance!P$7:P$400)</f>
        <v>25537860.18</v>
      </c>
      <c r="Q63" s="38" t="n">
        <f aca="false">P63</f>
        <v>25537860.18</v>
      </c>
    </row>
    <row r="64" customFormat="false" ht="15" hidden="false" customHeight="false" outlineLevel="0" collapsed="false">
      <c r="B64" s="19" t="s">
        <v>455</v>
      </c>
      <c r="C64" s="35" t="s">
        <v>369</v>
      </c>
      <c r="D64" s="36" t="n">
        <f aca="false">-SUMPRODUCT(((LEFT(Balance!$B$7:$B$400,3)="148")+(LEFT(Balance!$B$7:$B$400,3)="553")+(LEFT(Balance!$B$7:$B$400,3)="554"))*Balance!D$7:D$400)</f>
        <v>55000000</v>
      </c>
      <c r="E64" s="79" t="n">
        <f aca="false">-SUMPRODUCT(((LEFT(Balance!$B$7:$B$400,3)="148")+(LEFT(Balance!$B$7:$B$400,3)="553")+(LEFT(Balance!$B$7:$B$400,3)="554"))*Balance!E$7:E$400)</f>
        <v>54450000</v>
      </c>
      <c r="F64" s="79" t="n">
        <f aca="false">-SUMPRODUCT(((LEFT(Balance!$B$7:$B$400,3)="148")+(LEFT(Balance!$B$7:$B$400,3)="553")+(LEFT(Balance!$B$7:$B$400,3)="554"))*Balance!F$7:F$400)</f>
        <v>53900000</v>
      </c>
      <c r="G64" s="79" t="n">
        <f aca="false">-SUMPRODUCT(((LEFT(Balance!$B$7:$B$400,3)="148")+(LEFT(Balance!$B$7:$B$400,3)="553")+(LEFT(Balance!$B$7:$B$400,3)="554"))*Balance!G$7:G$400)</f>
        <v>53350000</v>
      </c>
      <c r="H64" s="79" t="n">
        <f aca="false">-SUMPRODUCT(((LEFT(Balance!$B$7:$B$400,3)="148")+(LEFT(Balance!$B$7:$B$400,3)="553")+(LEFT(Balance!$B$7:$B$400,3)="554"))*Balance!H$7:H$400)</f>
        <v>52800000</v>
      </c>
      <c r="I64" s="79" t="n">
        <f aca="false">-SUMPRODUCT(((LEFT(Balance!$B$7:$B$400,3)="148")+(LEFT(Balance!$B$7:$B$400,3)="553")+(LEFT(Balance!$B$7:$B$400,3)="554"))*Balance!I$7:I$400)</f>
        <v>52250000</v>
      </c>
      <c r="J64" s="79" t="n">
        <f aca="false">-SUMPRODUCT(((LEFT(Balance!$B$7:$B$400,3)="148")+(LEFT(Balance!$B$7:$B$400,3)="553")+(LEFT(Balance!$B$7:$B$400,3)="554"))*Balance!J$7:J$400)</f>
        <v>51700000</v>
      </c>
      <c r="K64" s="79" t="n">
        <f aca="false">-SUMPRODUCT(((LEFT(Balance!$B$7:$B$400,3)="148")+(LEFT(Balance!$B$7:$B$400,3)="553")+(LEFT(Balance!$B$7:$B$400,3)="554"))*Balance!K$7:K$400)</f>
        <v>52150000</v>
      </c>
      <c r="L64" s="79" t="n">
        <f aca="false">-SUMPRODUCT(((LEFT(Balance!$B$7:$B$400,3)="148")+(LEFT(Balance!$B$7:$B$400,3)="553")+(LEFT(Balance!$B$7:$B$400,3)="554"))*Balance!L$7:L$400)</f>
        <v>53600000</v>
      </c>
      <c r="M64" s="79" t="n">
        <f aca="false">-SUMPRODUCT(((LEFT(Balance!$B$7:$B$400,3)="148")+(LEFT(Balance!$B$7:$B$400,3)="553")+(LEFT(Balance!$B$7:$B$400,3)="554"))*Balance!M$7:M$400)</f>
        <v>51050000</v>
      </c>
      <c r="N64" s="79" t="n">
        <f aca="false">-SUMPRODUCT(((LEFT(Balance!$B$7:$B$400,3)="148")+(LEFT(Balance!$B$7:$B$400,3)="553")+(LEFT(Balance!$B$7:$B$400,3)="554"))*Balance!N$7:N$400)</f>
        <v>49500000</v>
      </c>
      <c r="O64" s="79" t="n">
        <f aca="false">-SUMPRODUCT(((LEFT(Balance!$B$7:$B$400,3)="148")+(LEFT(Balance!$B$7:$B$400,3)="553")+(LEFT(Balance!$B$7:$B$400,3)="554"))*Balance!O$7:O$400)</f>
        <v>48950000</v>
      </c>
      <c r="P64" s="79" t="n">
        <f aca="false">-SUMPRODUCT(((LEFT(Balance!$B$7:$B$400,3)="148")+(LEFT(Balance!$B$7:$B$400,3)="553")+(LEFT(Balance!$B$7:$B$400,3)="554"))*Balance!P$7:P$400)</f>
        <v>48400000</v>
      </c>
      <c r="Q64" s="38" t="n">
        <f aca="false">P64</f>
        <v>48400000</v>
      </c>
    </row>
    <row r="65" customFormat="false" ht="15" hidden="false" customHeight="false" outlineLevel="0" collapsed="false">
      <c r="B65" s="19" t="s">
        <v>456</v>
      </c>
      <c r="C65" s="35" t="s">
        <v>369</v>
      </c>
      <c r="D65" s="36" t="n">
        <f aca="false">(D64+D64)/2</f>
        <v>55000000</v>
      </c>
      <c r="E65" s="79" t="n">
        <f aca="false">(D64+E64)/2</f>
        <v>54725000</v>
      </c>
      <c r="F65" s="79" t="n">
        <f aca="false">(E64+F64)/2</f>
        <v>54175000</v>
      </c>
      <c r="G65" s="79" t="n">
        <f aca="false">(F64+G64)/2</f>
        <v>53625000</v>
      </c>
      <c r="H65" s="79" t="n">
        <f aca="false">(G64+H64)/2</f>
        <v>53075000</v>
      </c>
      <c r="I65" s="79" t="n">
        <f aca="false">(H64+I64)/2</f>
        <v>52525000</v>
      </c>
      <c r="J65" s="79" t="n">
        <f aca="false">(I64+J64)/2</f>
        <v>51975000</v>
      </c>
      <c r="K65" s="79" t="n">
        <f aca="false">(J64+K64)/2</f>
        <v>51925000</v>
      </c>
      <c r="L65" s="79" t="n">
        <f aca="false">(K64+L64)/2</f>
        <v>52875000</v>
      </c>
      <c r="M65" s="79" t="n">
        <f aca="false">(L64+M64)/2</f>
        <v>52325000</v>
      </c>
      <c r="N65" s="79" t="n">
        <f aca="false">(M64+N64)/2</f>
        <v>50275000</v>
      </c>
      <c r="O65" s="79" t="n">
        <f aca="false">(N64+O64)/2</f>
        <v>49225000</v>
      </c>
      <c r="P65" s="79" t="n">
        <f aca="false">(O64+P64)/2</f>
        <v>48675000</v>
      </c>
      <c r="Q65" s="38" t="n">
        <f aca="false">(D64+P64)/2</f>
        <v>51700000</v>
      </c>
    </row>
    <row r="66" customFormat="false" ht="15" hidden="false" customHeight="false" outlineLevel="0" collapsed="false">
      <c r="B66" s="19" t="s">
        <v>457</v>
      </c>
      <c r="C66" s="35" t="s">
        <v>369</v>
      </c>
      <c r="D66" s="36" t="n">
        <f aca="false">-SUMPRODUCT(((LEFT(Balance!$B$7:$B$400,2)="11")+(LEFT(Balance!$B$7:$B$400,2)="13"))*Balance!D$7:D$400)+D50</f>
        <v>74946839.54</v>
      </c>
      <c r="E66" s="79" t="n">
        <f aca="false">-SUMPRODUCT(((LEFT(Balance!$B$7:$B$400,2)="11")+(LEFT(Balance!$B$7:$B$400,2)="13"))*Balance!E$7:E$400)+E50</f>
        <v>75672509.91</v>
      </c>
      <c r="F66" s="79" t="n">
        <f aca="false">-SUMPRODUCT(((LEFT(Balance!$B$7:$B$400,2)="11")+(LEFT(Balance!$B$7:$B$400,2)="13"))*Balance!F$7:F$400)+F50</f>
        <v>76729197.69</v>
      </c>
      <c r="G66" s="79" t="n">
        <f aca="false">-SUMPRODUCT(((LEFT(Balance!$B$7:$B$400,2)="11")+(LEFT(Balance!$B$7:$B$400,2)="13"))*Balance!G$7:G$400)+G50</f>
        <v>77785330.49</v>
      </c>
      <c r="H66" s="79" t="n">
        <f aca="false">-SUMPRODUCT(((LEFT(Balance!$B$7:$B$400,2)="11")+(LEFT(Balance!$B$7:$B$400,2)="13"))*Balance!H$7:H$400)+H50</f>
        <v>78630929.04</v>
      </c>
      <c r="I66" s="79" t="n">
        <f aca="false">-SUMPRODUCT(((LEFT(Balance!$B$7:$B$400,2)="11")+(LEFT(Balance!$B$7:$B$400,2)="13"))*Balance!I$7:I$400)+I50</f>
        <v>80051890.99</v>
      </c>
      <c r="J66" s="79" t="n">
        <f aca="false">-SUMPRODUCT(((LEFT(Balance!$B$7:$B$400,2)="11")+(LEFT(Balance!$B$7:$B$400,2)="13"))*Balance!J$7:J$400)+J50</f>
        <v>81723774.18</v>
      </c>
      <c r="K66" s="79" t="n">
        <f aca="false">-SUMPRODUCT(((LEFT(Balance!$B$7:$B$400,2)="11")+(LEFT(Balance!$B$7:$B$400,2)="13"))*Balance!K$7:K$400)+K50</f>
        <v>82898596.57</v>
      </c>
      <c r="L66" s="79" t="n">
        <f aca="false">-SUMPRODUCT(((LEFT(Balance!$B$7:$B$400,2)="11")+(LEFT(Balance!$B$7:$B$400,2)="13"))*Balance!L$7:L$400)+L50</f>
        <v>82491112.04</v>
      </c>
      <c r="M66" s="79" t="n">
        <f aca="false">-SUMPRODUCT(((LEFT(Balance!$B$7:$B$400,2)="11")+(LEFT(Balance!$B$7:$B$400,2)="13"))*Balance!M$7:M$400)+M50</f>
        <v>82838911.48</v>
      </c>
      <c r="N66" s="79" t="n">
        <f aca="false">-SUMPRODUCT(((LEFT(Balance!$B$7:$B$400,2)="11")+(LEFT(Balance!$B$7:$B$400,2)="13"))*Balance!N$7:N$400)+N50</f>
        <v>83987461.41</v>
      </c>
      <c r="O66" s="79" t="n">
        <f aca="false">-SUMPRODUCT(((LEFT(Balance!$B$7:$B$400,2)="11")+(LEFT(Balance!$B$7:$B$400,2)="13"))*Balance!O$7:O$400)+O50</f>
        <v>84860428.16</v>
      </c>
      <c r="P66" s="79" t="n">
        <f aca="false">-SUMPRODUCT(((LEFT(Balance!$B$7:$B$400,2)="11")+(LEFT(Balance!$B$7:$B$400,2)="13"))*Balance!P$7:P$400)+P50</f>
        <v>85786839.71</v>
      </c>
      <c r="Q66" s="38" t="n">
        <f aca="false">P66</f>
        <v>85786839.71</v>
      </c>
    </row>
    <row r="67" customFormat="false" ht="15" hidden="false" customHeight="false" outlineLevel="0" collapsed="false">
      <c r="B67" s="78" t="s">
        <v>458</v>
      </c>
    </row>
    <row r="68" customFormat="false" ht="15" hidden="false" customHeight="false" outlineLevel="0" collapsed="false">
      <c r="B68" s="16" t="s">
        <v>397</v>
      </c>
      <c r="C68" s="35" t="s">
        <v>371</v>
      </c>
      <c r="D68" s="80" t="n">
        <f aca="false">IFERROR(D52/D44,"—")</f>
        <v>0.346060340869565</v>
      </c>
      <c r="E68" s="80" t="n">
        <f aca="false">IFERROR(E52/E44,"—")</f>
        <v>0.300235146296296</v>
      </c>
      <c r="F68" s="80" t="n">
        <f aca="false">IFERROR(F52/F44,"—")</f>
        <v>0.289912385714286</v>
      </c>
      <c r="G68" s="80" t="n">
        <f aca="false">IFERROR(G52/G44,"—")</f>
        <v>0.265986287903226</v>
      </c>
      <c r="H68" s="80" t="n">
        <f aca="false">IFERROR(H52/H44,"—")</f>
        <v>0.274866178991597</v>
      </c>
      <c r="I68" s="80" t="n">
        <f aca="false">IFERROR(I52/I44,"—")</f>
        <v>0.261976243650794</v>
      </c>
      <c r="J68" s="80" t="n">
        <f aca="false">IFERROR(J52/J44,"—")</f>
        <v>0.2555273671875</v>
      </c>
      <c r="K68" s="80" t="n">
        <f aca="false">IFERROR(K52/K44,"—")</f>
        <v>0.282378023275862</v>
      </c>
      <c r="L68" s="80" t="n">
        <f aca="false">IFERROR(L52/L44,"—")</f>
        <v>0.412607537837838</v>
      </c>
      <c r="M68" s="80" t="n">
        <f aca="false">IFERROR(M52/M44,"—")</f>
        <v>0.273658452066116</v>
      </c>
      <c r="N68" s="80" t="n">
        <f aca="false">IFERROR(N52/N44,"—")</f>
        <v>0.25801837734375</v>
      </c>
      <c r="O68" s="80" t="n">
        <f aca="false">IFERROR(O52/O44,"—")</f>
        <v>0.265999403252033</v>
      </c>
      <c r="P68" s="80" t="n">
        <f aca="false">IFERROR(P52/P44,"—")</f>
        <v>0.294686327659575</v>
      </c>
      <c r="Q68" s="81" t="n">
        <f aca="false">IFERROR(Q52/Q44,"—")</f>
        <v>0.28169014084507</v>
      </c>
    </row>
    <row r="69" customFormat="false" ht="15" hidden="false" customHeight="false" outlineLevel="0" collapsed="false">
      <c r="B69" s="16" t="s">
        <v>400</v>
      </c>
      <c r="C69" s="35" t="s">
        <v>371</v>
      </c>
      <c r="D69" s="80" t="n">
        <f aca="false">IFERROR(D51/D44,"—")</f>
        <v>0.0808845973913044</v>
      </c>
      <c r="E69" s="80" t="n">
        <f aca="false">IFERROR(E51/E44,"—")</f>
        <v>0.135092935185185</v>
      </c>
      <c r="F69" s="80" t="n">
        <f aca="false">IFERROR(F51/F44,"—")</f>
        <v>0.159823313392857</v>
      </c>
      <c r="G69" s="80" t="n">
        <f aca="false">IFERROR(G51/G44,"—")</f>
        <v>0.144311784677419</v>
      </c>
      <c r="H69" s="80" t="n">
        <f aca="false">IFERROR(H51/H44,"—")</f>
        <v>0.132683351260504</v>
      </c>
      <c r="I69" s="80" t="n">
        <f aca="false">IFERROR(I51/I44,"—")</f>
        <v>0.170975815873016</v>
      </c>
      <c r="J69" s="80" t="n">
        <f aca="false">IFERROR(J51/J44,"—")</f>
        <v>0.187907540625</v>
      </c>
      <c r="K69" s="80" t="n">
        <f aca="false">IFERROR(K51/K44,"—")</f>
        <v>0.164496182758621</v>
      </c>
      <c r="L69" s="80" t="n">
        <f aca="false">IFERROR(L51/L44,"—")</f>
        <v>0.0440336216216216</v>
      </c>
      <c r="M69" s="80" t="n">
        <f aca="false">IFERROR(M51/M44,"—")</f>
        <v>0.0893498157024796</v>
      </c>
      <c r="N69" s="80" t="n">
        <f aca="false">IFERROR(N51/N44,"—")</f>
        <v>0.1431158796875</v>
      </c>
      <c r="O69" s="80" t="n">
        <f aca="false">IFERROR(O51/O44,"—")</f>
        <v>0.130593502439024</v>
      </c>
      <c r="P69" s="80" t="n">
        <f aca="false">IFERROR(P51/P44,"—")</f>
        <v>0.11771240283688</v>
      </c>
      <c r="Q69" s="81" t="n">
        <f aca="false">IFERROR(Q51/Q44,"—")</f>
        <v>0.137957747394366</v>
      </c>
    </row>
    <row r="70" customFormat="false" ht="15" hidden="false" customHeight="false" outlineLevel="0" collapsed="false">
      <c r="B70" s="16" t="s">
        <v>403</v>
      </c>
      <c r="C70" s="35" t="s">
        <v>371</v>
      </c>
      <c r="D70" s="80" t="str">
        <f aca="false">IFERROR(NA(),"—")</f>
        <v>—</v>
      </c>
      <c r="E70" s="80" t="n">
        <f aca="false">IFERROR((E50-D50)/ABS(D50),"—")</f>
        <v>2.55672019962915</v>
      </c>
      <c r="F70" s="80" t="n">
        <f aca="false">IFERROR((F50-E50)/ABS(E50),"—")</f>
        <v>0.449953434987464</v>
      </c>
      <c r="G70" s="80" t="n">
        <f aca="false">IFERROR((G50-F50)/ABS(F50),"—")</f>
        <v>-0.000520283451638539</v>
      </c>
      <c r="H70" s="80" t="n">
        <f aca="false">IFERROR((H50-G50)/ABS(G50),"—")</f>
        <v>-0.19747469546008</v>
      </c>
      <c r="I70" s="80" t="n">
        <f aca="false">IFERROR((I50-H50)/ABS(H50),"—")</f>
        <v>0.672468881580039</v>
      </c>
      <c r="J70" s="80" t="n">
        <f aca="false">IFERROR((J50-I50)/ABS(I50),"—")</f>
        <v>0.175351441035871</v>
      </c>
      <c r="K70" s="80" t="n">
        <f aca="false">IFERROR((K50-J50)/ABS(J50),"—")</f>
        <v>-0.295538241273462</v>
      </c>
      <c r="L70" s="80" t="n">
        <f aca="false">IFERROR((L50-K50)/ABS(K50),"—")</f>
        <v>-1.33548026552739</v>
      </c>
      <c r="M70" s="80" t="n">
        <f aca="false">IFERROR((M50-L50)/ABS(L50),"—")</f>
        <v>1.90015940997754</v>
      </c>
      <c r="N70" s="80" t="n">
        <f aca="false">IFERROR((N50-M50)/ABS(M50),"—")</f>
        <v>2.23798698511098</v>
      </c>
      <c r="O70" s="80" t="n">
        <f aca="false">IFERROR((O50-N50)/ABS(N50),"—")</f>
        <v>-0.237869057572685</v>
      </c>
      <c r="P70" s="80" t="n">
        <f aca="false">IFERROR((P50-O50)/ABS(O50),"—")</f>
        <v>0.0605286665664382</v>
      </c>
      <c r="Q70" s="81" t="s">
        <v>372</v>
      </c>
    </row>
    <row r="71" customFormat="false" ht="15" hidden="false" customHeight="false" outlineLevel="0" collapsed="false">
      <c r="B71" s="16" t="s">
        <v>405</v>
      </c>
      <c r="C71" s="35" t="s">
        <v>371</v>
      </c>
      <c r="D71" s="80" t="n">
        <f aca="false">IFERROR(D53/D44,"—")</f>
        <v>0.100728614782609</v>
      </c>
      <c r="E71" s="80" t="n">
        <f aca="false">IFERROR(E53/E44,"—")</f>
        <v>0.106161662962963</v>
      </c>
      <c r="F71" s="80" t="n">
        <f aca="false">IFERROR(F53/F44,"—")</f>
        <v>0.100254798214286</v>
      </c>
      <c r="G71" s="80" t="n">
        <f aca="false">IFERROR(G53/G44,"—")</f>
        <v>0.0975546870967742</v>
      </c>
      <c r="H71" s="80" t="n">
        <f aca="false">IFERROR(H53/H44,"—")</f>
        <v>0.0978915</v>
      </c>
      <c r="I71" s="80" t="n">
        <f aca="false">IFERROR(I53/I44,"—")</f>
        <v>0.0950788634920635</v>
      </c>
      <c r="J71" s="80" t="n">
        <f aca="false">IFERROR(J53/J44,"—")</f>
        <v>0.0925794828125</v>
      </c>
      <c r="K71" s="80" t="n">
        <f aca="false">IFERROR(K53/K44,"—")</f>
        <v>0.100834892241379</v>
      </c>
      <c r="L71" s="80" t="n">
        <f aca="false">IFERROR(L53/L44,"—")</f>
        <v>0.136148167567568</v>
      </c>
      <c r="M71" s="80" t="n">
        <f aca="false">IFERROR(M53/M44,"—")</f>
        <v>0.0972495231404959</v>
      </c>
      <c r="N71" s="80" t="n">
        <f aca="false">IFERROR(N53/N44,"—")</f>
        <v>0.0950358859375</v>
      </c>
      <c r="O71" s="80" t="n">
        <f aca="false">IFERROR(O53/O44,"—")</f>
        <v>0.0952148528455285</v>
      </c>
      <c r="P71" s="80" t="n">
        <f aca="false">IFERROR(P53/P44,"—")</f>
        <v>0.0873404078014184</v>
      </c>
      <c r="Q71" s="81" t="n">
        <f aca="false">IFERROR(Q53/Q44,"—")</f>
        <v>0.0985915488028169</v>
      </c>
    </row>
    <row r="72" customFormat="false" ht="15" hidden="false" customHeight="false" outlineLevel="0" collapsed="false">
      <c r="B72" s="16" t="s">
        <v>407</v>
      </c>
      <c r="C72" s="35" t="s">
        <v>371</v>
      </c>
      <c r="D72" s="80" t="n">
        <f aca="false">IFERROR(D49/D44,"—")</f>
        <v>0.0437392608695652</v>
      </c>
      <c r="E72" s="80" t="n">
        <f aca="false">IFERROR(E49/E44,"—")</f>
        <v>0.10291230462963</v>
      </c>
      <c r="F72" s="80" t="n">
        <f aca="false">IFERROR(F49/F44,"—")</f>
        <v>0.140396572321429</v>
      </c>
      <c r="G72" s="80" t="n">
        <f aca="false">IFERROR(G49/G44,"—")</f>
        <v>0.185399603225806</v>
      </c>
      <c r="H72" s="80" t="n">
        <f aca="false">IFERROR(H49/H44,"—")</f>
        <v>0.106938018487395</v>
      </c>
      <c r="I72" s="80" t="n">
        <f aca="false">IFERROR(I49/I44,"—")</f>
        <v>0.157865127777778</v>
      </c>
      <c r="J72" s="80" t="n">
        <f aca="false">IFERROR(J49/J44,"—")</f>
        <v>0.177343296875</v>
      </c>
      <c r="K72" s="80" t="n">
        <f aca="false">IFERROR(K49/K44,"—")</f>
        <v>0.148112419827586</v>
      </c>
      <c r="L72" s="80" t="n">
        <f aca="false">IFERROR(L49/L44,"—")</f>
        <v>-0.0222470040540541</v>
      </c>
      <c r="M72" s="80" t="n">
        <f aca="false">IFERROR(M49/M44,"—")</f>
        <v>0.0716349611570249</v>
      </c>
      <c r="N72" s="80" t="n">
        <f aca="false">IFERROR(N49/N44,"—")</f>
        <v>0.1302540546875</v>
      </c>
      <c r="O72" s="80" t="n">
        <f aca="false">IFERROR(O49/O44,"—")</f>
        <v>0.125774879674797</v>
      </c>
      <c r="P72" s="80" t="n">
        <f aca="false">IFERROR(P49/P44,"—")</f>
        <v>0.0943937014184398</v>
      </c>
      <c r="Q72" s="81" t="n">
        <f aca="false">IFERROR(Q49/Q44,"—")</f>
        <v>0.123098592887324</v>
      </c>
    </row>
    <row r="73" customFormat="false" ht="15" hidden="false" customHeight="false" outlineLevel="0" collapsed="false">
      <c r="B73" s="16" t="s">
        <v>409</v>
      </c>
      <c r="C73" s="35" t="s">
        <v>377</v>
      </c>
      <c r="D73" s="82" t="n">
        <f aca="false">IFERROR(D64/D66,"—")</f>
        <v>0.733853493190275</v>
      </c>
      <c r="E73" s="82" t="n">
        <f aca="false">IFERROR(E64/E66,"—")</f>
        <v>0.719547958231587</v>
      </c>
      <c r="F73" s="82" t="n">
        <f aca="false">IFERROR(F64/F66,"—")</f>
        <v>0.702470527813491</v>
      </c>
      <c r="G73" s="82" t="n">
        <f aca="false">IFERROR(G64/G66,"—")</f>
        <v>0.685861969910363</v>
      </c>
      <c r="H73" s="82" t="n">
        <f aca="false">IFERROR(H64/H66,"—")</f>
        <v>0.671491493800618</v>
      </c>
      <c r="I73" s="82" t="n">
        <f aca="false">IFERROR(I64/I66,"—")</f>
        <v>0.652701633325901</v>
      </c>
      <c r="J73" s="82" t="n">
        <f aca="false">IFERROR(J64/J66,"—")</f>
        <v>0.63261884951775</v>
      </c>
      <c r="K73" s="82" t="n">
        <f aca="false">IFERROR(K64/K66,"—")</f>
        <v>0.629081819931225</v>
      </c>
      <c r="L73" s="82" t="n">
        <f aca="false">IFERROR(L64/L66,"—")</f>
        <v>0.649766970943601</v>
      </c>
      <c r="M73" s="82" t="n">
        <f aca="false">IFERROR(M64/M66,"—")</f>
        <v>0.616256286906005</v>
      </c>
      <c r="N73" s="82" t="n">
        <f aca="false">IFERROR(N64/N66,"—")</f>
        <v>0.589373689464869</v>
      </c>
      <c r="O73" s="82" t="n">
        <f aca="false">IFERROR(O64/O66,"—")</f>
        <v>0.576829519498856</v>
      </c>
      <c r="P73" s="82" t="n">
        <f aca="false">IFERROR(P64/P66,"—")</f>
        <v>0.564189101307553</v>
      </c>
      <c r="Q73" s="83" t="n">
        <f aca="false">IFERROR(Q64/Q66,"—")</f>
        <v>0.564189101307553</v>
      </c>
    </row>
    <row r="74" customFormat="false" ht="15" hidden="false" customHeight="false" outlineLevel="0" collapsed="false">
      <c r="B74" s="16" t="s">
        <v>411</v>
      </c>
      <c r="C74" s="35" t="s">
        <v>371</v>
      </c>
      <c r="D74" s="80" t="n">
        <f aca="false">IFERROR(D55/D44,"—")</f>
        <v>0.0343519573913043</v>
      </c>
      <c r="E74" s="80" t="n">
        <f aca="false">IFERROR(E55/E44,"—")</f>
        <v>0.0316155157407407</v>
      </c>
      <c r="F74" s="80" t="n">
        <f aca="false">IFERROR(F55/F44,"—")</f>
        <v>0.0329585008928571</v>
      </c>
      <c r="G74" s="80" t="n">
        <f aca="false">IFERROR(G55/G44,"—")</f>
        <v>0.0836837411290323</v>
      </c>
      <c r="H74" s="80" t="n">
        <f aca="false">IFERROR(H55/H44,"—")</f>
        <v>0.0322848226890756</v>
      </c>
      <c r="I74" s="80" t="n">
        <f aca="false">IFERROR(I55/I44,"—")</f>
        <v>0.0287303793650794</v>
      </c>
      <c r="J74" s="80" t="n">
        <f aca="false">IFERROR(J55/J44,"—")</f>
        <v>0.02652553046875</v>
      </c>
      <c r="K74" s="80" t="n">
        <f aca="false">IFERROR(K55/K44,"—")</f>
        <v>0.0325784112068966</v>
      </c>
      <c r="L74" s="80" t="n">
        <f aca="false">IFERROR(L55/L44,"—")</f>
        <v>0.0430203675675676</v>
      </c>
      <c r="M74" s="80" t="n">
        <f aca="false">IFERROR(M55/M44,"—")</f>
        <v>0.0331135355371901</v>
      </c>
      <c r="N74" s="80" t="n">
        <f aca="false">IFERROR(N55/N44,"—")</f>
        <v>0.03287195</v>
      </c>
      <c r="O74" s="80" t="n">
        <f aca="false">IFERROR(O55/O44,"—")</f>
        <v>0.0377803837398374</v>
      </c>
      <c r="P74" s="80" t="n">
        <f aca="false">IFERROR(P55/P44,"—")</f>
        <v>0.0236614262411348</v>
      </c>
      <c r="Q74" s="81" t="n">
        <f aca="false">IFERROR(Q55/Q44,"—")</f>
        <v>0.0362676055633803</v>
      </c>
    </row>
    <row r="75" customFormat="false" ht="15" hidden="false" customHeight="false" outlineLevel="0" collapsed="false">
      <c r="B75" s="16" t="s">
        <v>413</v>
      </c>
      <c r="C75" s="35" t="s">
        <v>371</v>
      </c>
      <c r="D75" s="80" t="n">
        <f aca="false">IFERROR(D56*12/D65,"—")</f>
        <v>0.0617077069090909</v>
      </c>
      <c r="E75" s="80" t="n">
        <f aca="false">IFERROR(E56*12/E65,"—")</f>
        <v>0.0614007031521243</v>
      </c>
      <c r="F75" s="80" t="n">
        <f aca="false">IFERROR(F56*12/F65,"—")</f>
        <v>0.061400702907245</v>
      </c>
      <c r="G75" s="80" t="n">
        <f aca="false">IFERROR(G56*12/G65,"—")</f>
        <v>0.0614007026573427</v>
      </c>
      <c r="H75" s="80" t="n">
        <f aca="false">IFERROR(H56*12/H65,"—")</f>
        <v>0.0614007046632124</v>
      </c>
      <c r="I75" s="80" t="n">
        <f aca="false">IFERROR(I56*12/I65,"—")</f>
        <v>0.0614007044264636</v>
      </c>
      <c r="J75" s="80" t="n">
        <f aca="false">IFERROR(J56*12/J65,"—")</f>
        <v>0.0614007041847042</v>
      </c>
      <c r="K75" s="80" t="n">
        <f aca="false">IFERROR(K56*12/K65,"—")</f>
        <v>0.0614007033220992</v>
      </c>
      <c r="L75" s="80" t="n">
        <f aca="false">IFERROR(L56*12/L65,"—")</f>
        <v>0.0614007035460993</v>
      </c>
      <c r="M75" s="80" t="n">
        <f aca="false">IFERROR(M56*12/M65,"—")</f>
        <v>0.0614007032967033</v>
      </c>
      <c r="N75" s="80" t="n">
        <f aca="false">IFERROR(N56*12/N65,"—")</f>
        <v>0.0614007025360517</v>
      </c>
      <c r="O75" s="80" t="n">
        <f aca="false">IFERROR(O56*12/O65,"—")</f>
        <v>0.0614007028948705</v>
      </c>
      <c r="P75" s="80" t="n">
        <f aca="false">IFERROR(P56*12/P65,"—")</f>
        <v>0.0614007026194145</v>
      </c>
      <c r="Q75" s="81" t="n">
        <f aca="false">IFERROR(Q56/Q65,"—")</f>
        <v>0.0618955510638298</v>
      </c>
    </row>
    <row r="76" customFormat="false" ht="15" hidden="false" customHeight="false" outlineLevel="0" collapsed="false">
      <c r="B76" s="16" t="s">
        <v>415</v>
      </c>
      <c r="C76" s="35" t="s">
        <v>459</v>
      </c>
      <c r="D76" s="84" t="n">
        <f aca="false">IFERROR(D63/D44*$L$5,"—")</f>
        <v>60.7052793913043</v>
      </c>
      <c r="E76" s="84" t="n">
        <f aca="false">IFERROR(E63/E44*$L$5,"—")</f>
        <v>63.80949775</v>
      </c>
      <c r="F76" s="84" t="n">
        <f aca="false">IFERROR(F63/F44*$L$5,"—")</f>
        <v>61.1423019642857</v>
      </c>
      <c r="G76" s="84" t="n">
        <f aca="false">IFERROR(G63/G44*$L$5,"—")</f>
        <v>59.6026670080645</v>
      </c>
      <c r="H76" s="84" t="n">
        <f aca="false">IFERROR(H63/H44*$L$5,"—")</f>
        <v>50.8664818487395</v>
      </c>
      <c r="I76" s="84" t="n">
        <f aca="false">IFERROR(I63/I44*$L$5,"—")</f>
        <v>53.5436627142857</v>
      </c>
      <c r="J76" s="84" t="n">
        <f aca="false">IFERROR(J63/J44*$L$5,"—")</f>
        <v>59.6141052890625</v>
      </c>
      <c r="K76" s="84" t="n">
        <f aca="false">IFERROR(K63/K44*$L$5,"—")</f>
        <v>65.0886372413793</v>
      </c>
      <c r="L76" s="84" t="n">
        <f aca="false">IFERROR(L63/L44*$L$5,"—")</f>
        <v>95.1979228783784</v>
      </c>
      <c r="M76" s="84" t="n">
        <f aca="false">IFERROR(M63/M44*$L$5,"—")</f>
        <v>52.5122234380165</v>
      </c>
      <c r="N76" s="84" t="n">
        <f aca="false">IFERROR(N63/N44*$L$5,"—")</f>
        <v>58.301854640625</v>
      </c>
      <c r="O76" s="84" t="n">
        <f aca="false">IFERROR(O63/O44*$L$5,"—")</f>
        <v>62.3605739756098</v>
      </c>
      <c r="P76" s="84" t="n">
        <f aca="false">IFERROR(P63/P44*$L$5,"—")</f>
        <v>54.3358727234043</v>
      </c>
      <c r="Q76" s="85" t="n">
        <f aca="false">IFERROR(Q63/Q44*12*$L$5,"—")</f>
        <v>64.7438708788733</v>
      </c>
    </row>
    <row r="77" customFormat="false" ht="15" hidden="false" customHeight="false" outlineLevel="0" collapsed="false">
      <c r="B77" s="16" t="s">
        <v>417</v>
      </c>
      <c r="C77" s="35" t="s">
        <v>459</v>
      </c>
      <c r="D77" s="84" t="n">
        <f aca="false">IFERROR(D61/D45*$L$5,"—")</f>
        <v>80.2715340442986</v>
      </c>
      <c r="E77" s="84" t="n">
        <f aca="false">IFERROR(E61/E45*$L$5,"—")</f>
        <v>82.2798742138365</v>
      </c>
      <c r="F77" s="84" t="n">
        <f aca="false">IFERROR(F61/F45*$L$5,"—")</f>
        <v>77.8680929919137</v>
      </c>
      <c r="G77" s="84" t="n">
        <f aca="false">IFERROR(G61/G45*$L$5,"—")</f>
        <v>73.3566646378576</v>
      </c>
      <c r="H77" s="84" t="n">
        <f aca="false">IFERROR(H61/H45*$L$5,"—")</f>
        <v>78.7077850007928</v>
      </c>
      <c r="I77" s="84" t="n">
        <f aca="false">IFERROR(I61/I45*$L$5,"—")</f>
        <v>76.2398921832884</v>
      </c>
      <c r="J77" s="84" t="n">
        <f aca="false">IFERROR(J61/J45*$L$5,"—")</f>
        <v>76.5720813679245</v>
      </c>
      <c r="K77" s="84" t="n">
        <f aca="false">IFERROR(K61/K45*$L$5,"—")</f>
        <v>82.8122966818478</v>
      </c>
      <c r="L77" s="84" t="n">
        <f aca="false">IFERROR(L61/L45*$L$5,"—")</f>
        <v>108.327383987761</v>
      </c>
      <c r="M77" s="84" t="n">
        <f aca="false">IFERROR(M61/M45*$L$5,"—")</f>
        <v>66.0018711991268</v>
      </c>
      <c r="N77" s="84" t="n">
        <f aca="false">IFERROR(N61/N45*$L$5,"—")</f>
        <v>70.1267688679245</v>
      </c>
      <c r="O77" s="84" t="n">
        <f aca="false">IFERROR(O61/O45*$L$5,"—")</f>
        <v>79.1969627243442</v>
      </c>
      <c r="P77" s="84" t="n">
        <f aca="false">IFERROR(P61/P45*$L$5,"—")</f>
        <v>72.597350461662</v>
      </c>
      <c r="Q77" s="85" t="n">
        <f aca="false">IFERROR(Q61/Q45*12*$L$5,"—")</f>
        <v>86.5033218176987</v>
      </c>
    </row>
    <row r="78" customFormat="false" ht="15" hidden="false" customHeight="false" outlineLevel="0" collapsed="false">
      <c r="B78" s="16" t="s">
        <v>419</v>
      </c>
      <c r="C78" s="35" t="s">
        <v>459</v>
      </c>
      <c r="D78" s="84" t="n">
        <f aca="false">IFERROR(D62/D59*$L$5,"—")</f>
        <v>84.1476658178619</v>
      </c>
      <c r="E78" s="84" t="n">
        <f aca="false">IFERROR(E62/E59*$L$5,"—")</f>
        <v>87.5850674277626</v>
      </c>
      <c r="F78" s="84" t="n">
        <f aca="false">IFERROR(F62/F59*$L$5,"—")</f>
        <v>84.1298193199581</v>
      </c>
      <c r="G78" s="84" t="n">
        <f aca="false">IFERROR(G62/G59*$L$5,"—")</f>
        <v>78.6635559355558</v>
      </c>
      <c r="H78" s="84" t="n">
        <f aca="false">IFERROR(H62/H59*$L$5,"—")</f>
        <v>83.4728296729119</v>
      </c>
      <c r="I78" s="84" t="n">
        <f aca="false">IFERROR(I62/I59*$L$5,"—")</f>
        <v>81.7074449634616</v>
      </c>
      <c r="J78" s="84" t="n">
        <f aca="false">IFERROR(J62/J59*$L$5,"—")</f>
        <v>81.2967862858718</v>
      </c>
      <c r="K78" s="84" t="n">
        <f aca="false">IFERROR(K62/K59*$L$5,"—")</f>
        <v>88.4143727339688</v>
      </c>
      <c r="L78" s="84" t="n">
        <f aca="false">IFERROR(L62/L59*$L$5,"—")</f>
        <v>109.267219376885</v>
      </c>
      <c r="M78" s="84" t="n">
        <f aca="false">IFERROR(M62/M59*$L$5,"—")</f>
        <v>73.056880749636</v>
      </c>
      <c r="N78" s="84" t="n">
        <f aca="false">IFERROR(N62/N59*$L$5,"—")</f>
        <v>74.8952618050337</v>
      </c>
      <c r="O78" s="84" t="n">
        <f aca="false">IFERROR(O62/O59*$L$5,"—")</f>
        <v>84.8787063817831</v>
      </c>
      <c r="P78" s="84" t="n">
        <f aca="false">IFERROR(P62/P59*$L$5,"—")</f>
        <v>78.7730270576658</v>
      </c>
      <c r="Q78" s="85" t="n">
        <f aca="false">IFERROR(Q62/Q59*12*$L$5,"—")</f>
        <v>90.5122387437235</v>
      </c>
    </row>
    <row r="79" customFormat="false" ht="15" hidden="false" customHeight="false" outlineLevel="0" collapsed="false">
      <c r="B79" s="16" t="s">
        <v>422</v>
      </c>
      <c r="C79" s="35" t="s">
        <v>459</v>
      </c>
      <c r="D79" s="84" t="n">
        <f aca="false">IFERROR(D60/D54*$L$5,"—")</f>
        <v>94.3156589104838</v>
      </c>
      <c r="E79" s="84" t="n">
        <f aca="false">IFERROR(E60/E54*$L$5,"—")</f>
        <v>106.116490816848</v>
      </c>
      <c r="F79" s="84" t="n">
        <f aca="false">IFERROR(F60/F54*$L$5,"—")</f>
        <v>108.017855924209</v>
      </c>
      <c r="G79" s="84" t="n">
        <f aca="false">IFERROR(G60/G54*$L$5,"—")</f>
        <v>100.720317944161</v>
      </c>
      <c r="H79" s="84" t="n">
        <f aca="false">IFERROR(H60/H54*$L$5,"—")</f>
        <v>93.7769094910393</v>
      </c>
      <c r="I79" s="84" t="n">
        <f aca="false">IFERROR(I60/I54*$L$5,"—")</f>
        <v>95.1856167761851</v>
      </c>
      <c r="J79" s="84" t="n">
        <f aca="false">IFERROR(J60/J54*$L$5,"—")</f>
        <v>96.4735172813377</v>
      </c>
      <c r="K79" s="84" t="n">
        <f aca="false">IFERROR(K60/K54*$L$5,"—")</f>
        <v>111.178115092133</v>
      </c>
      <c r="L79" s="84" t="n">
        <f aca="false">IFERROR(L60/L54*$L$5,"—")</f>
        <v>196.975582424841</v>
      </c>
      <c r="M79" s="84" t="n">
        <f aca="false">IFERROR(M60/M54*$L$5,"—")</f>
        <v>91.3573174702753</v>
      </c>
      <c r="N79" s="84" t="n">
        <f aca="false">IFERROR(N60/N54*$L$5,"—")</f>
        <v>91.6123460189028</v>
      </c>
      <c r="O79" s="84" t="n">
        <f aca="false">IFERROR(O60/O54*$L$5,"—")</f>
        <v>96.6923566854564</v>
      </c>
      <c r="P79" s="84" t="n">
        <f aca="false">IFERROR(P60/P54*$L$5,"—")</f>
        <v>82.7172155874329</v>
      </c>
      <c r="Q79" s="85" t="n">
        <f aca="false">IFERROR(Q60/Q54*12*$L$5,"—")</f>
        <v>100.45161293563</v>
      </c>
    </row>
    <row r="80" customFormat="false" ht="15" hidden="false" customHeight="false" outlineLevel="0" collapsed="false">
      <c r="B80" s="16" t="s">
        <v>424</v>
      </c>
      <c r="C80" s="35" t="s">
        <v>459</v>
      </c>
      <c r="D80" s="84" t="n">
        <f aca="false">IFERROR(D77+D79-D78,"—")</f>
        <v>90.4395271369206</v>
      </c>
      <c r="E80" s="84" t="n">
        <f aca="false">IFERROR(E77+E79-E78,"—")</f>
        <v>100.811297602922</v>
      </c>
      <c r="F80" s="84" t="n">
        <f aca="false">IFERROR(F77+F79-F78,"—")</f>
        <v>101.756129596165</v>
      </c>
      <c r="G80" s="84" t="n">
        <f aca="false">IFERROR(G77+G79-G78,"—")</f>
        <v>95.4134266464632</v>
      </c>
      <c r="H80" s="84" t="n">
        <f aca="false">IFERROR(H77+H79-H78,"—")</f>
        <v>89.0118648189202</v>
      </c>
      <c r="I80" s="84" t="n">
        <f aca="false">IFERROR(I77+I79-I78,"—")</f>
        <v>89.7180639960119</v>
      </c>
      <c r="J80" s="84" t="n">
        <f aca="false">IFERROR(J77+J79-J78,"—")</f>
        <v>91.7488123633904</v>
      </c>
      <c r="K80" s="84" t="n">
        <f aca="false">IFERROR(K77+K79-K78,"—")</f>
        <v>105.576039040012</v>
      </c>
      <c r="L80" s="84" t="n">
        <f aca="false">IFERROR(L77+L79-L78,"—")</f>
        <v>196.035747035718</v>
      </c>
      <c r="M80" s="84" t="n">
        <f aca="false">IFERROR(M77+M79-M78,"—")</f>
        <v>84.3023079197661</v>
      </c>
      <c r="N80" s="84" t="n">
        <f aca="false">IFERROR(N77+N79-N78,"—")</f>
        <v>86.8438530817937</v>
      </c>
      <c r="O80" s="84" t="n">
        <f aca="false">IFERROR(O77+O79-O78,"—")</f>
        <v>91.0106130280175</v>
      </c>
      <c r="P80" s="84" t="n">
        <f aca="false">IFERROR(P77+P79-P78,"—")</f>
        <v>76.5415389914292</v>
      </c>
      <c r="Q80" s="85" t="n">
        <f aca="false">IFERROR(Q77+Q79-Q78,"—")</f>
        <v>96.4426960096047</v>
      </c>
    </row>
    <row r="81" customFormat="false" ht="15" hidden="false" customHeight="false" outlineLevel="0" collapsed="false">
      <c r="B81" s="16" t="s">
        <v>426</v>
      </c>
      <c r="C81" s="35" t="s">
        <v>369</v>
      </c>
      <c r="D81" s="79" t="n">
        <f aca="false">IFERROR(D49+D57-D58,"—")</f>
        <v>523001.5</v>
      </c>
      <c r="E81" s="79" t="n">
        <f aca="false">IFERROR(E49+E57-E58,"—")</f>
        <v>1181452.89</v>
      </c>
      <c r="F81" s="79" t="n">
        <f aca="false">IFERROR(F49+F57-F58,"—")</f>
        <v>1592441.61</v>
      </c>
      <c r="G81" s="79" t="n">
        <f aca="false">IFERROR(G49+G57-G58,"—")</f>
        <v>1588955.08</v>
      </c>
      <c r="H81" s="79" t="n">
        <f aca="false">IFERROR(H49+H57-H58,"—")</f>
        <v>1322562.42</v>
      </c>
      <c r="I81" s="79" t="n">
        <f aca="false">IFERROR(I49+I57-I58,"—")</f>
        <v>2039100.61</v>
      </c>
      <c r="J81" s="79" t="n">
        <f aca="false">IFERROR(J49+J57-J58,"—")</f>
        <v>2349994.2</v>
      </c>
      <c r="K81" s="79" t="n">
        <f aca="false">IFERROR(K49+K57-K58,"—")</f>
        <v>1728104.07</v>
      </c>
      <c r="L81" s="79" t="n">
        <f aca="false">IFERROR(L49+L57-L58,"—")</f>
        <v>-144627.83</v>
      </c>
      <c r="M81" s="79" t="n">
        <f aca="false">IFERROR(M49+M57-M58,"—")</f>
        <v>896783.030000001</v>
      </c>
      <c r="N81" s="79" t="n">
        <f aca="false">IFERROR(N49+N57-N58,"—")</f>
        <v>1637251.9</v>
      </c>
      <c r="O81" s="79" t="n">
        <f aca="false">IFERROR(O49+O57-O58,"—")</f>
        <v>1487031.02</v>
      </c>
      <c r="P81" s="79" t="n">
        <f aca="false">IFERROR(P49+P57-P58,"—")</f>
        <v>1400951.19</v>
      </c>
      <c r="Q81" s="38" t="n">
        <f aca="false">IFERROR(Q49+Q57-Q58,"—")</f>
        <v>17080000.19</v>
      </c>
    </row>
    <row r="82" customFormat="false" ht="15" hidden="false" customHeight="false" outlineLevel="0" collapsed="false">
      <c r="B82" s="16" t="s">
        <v>428</v>
      </c>
      <c r="C82" s="35" t="s">
        <v>371</v>
      </c>
      <c r="D82" s="80" t="n">
        <f aca="false">IFERROR((D57-D58)/D49,"—")</f>
        <v>0.0397613128390273</v>
      </c>
      <c r="E82" s="80" t="n">
        <f aca="false">IFERROR((E57-E58)/E49,"—")</f>
        <v>0.0629806270961246</v>
      </c>
      <c r="F82" s="80" t="n">
        <f aca="false">IFERROR((F57-F58)/F49,"—")</f>
        <v>0.0127190732379564</v>
      </c>
      <c r="G82" s="80" t="n">
        <f aca="false">IFERROR((G57-G58)/G49,"—")</f>
        <v>-0.308835960379008</v>
      </c>
      <c r="H82" s="80" t="n">
        <f aca="false">IFERROR((H57-H58)/H49,"—")</f>
        <v>0.0392908035112337</v>
      </c>
      <c r="I82" s="80" t="n">
        <f aca="false">IFERROR((I57-I58)/I49,"—")</f>
        <v>0.0251369889228479</v>
      </c>
      <c r="J82" s="80" t="n">
        <f aca="false">IFERROR((J57-J58)/J49,"—")</f>
        <v>0.0352423807955104</v>
      </c>
      <c r="K82" s="80" t="n">
        <f aca="false">IFERROR((K57-K58)/K49,"—")</f>
        <v>0.0058203691933516</v>
      </c>
      <c r="L82" s="80" t="n">
        <f aca="false">IFERROR((L57-L58)/L49,"—")</f>
        <v>-0.121486142409822</v>
      </c>
      <c r="M82" s="80" t="n">
        <f aca="false">IFERROR((M57-M58)/M49,"—")</f>
        <v>0.03461073759139</v>
      </c>
      <c r="N82" s="80" t="n">
        <f aca="false">IFERROR((N57-N58)/N49,"—")</f>
        <v>-0.0179936816986083</v>
      </c>
      <c r="O82" s="80" t="n">
        <f aca="false">IFERROR((O57-O58)/O49,"—")</f>
        <v>-0.038783966982123</v>
      </c>
      <c r="P82" s="80" t="n">
        <f aca="false">IFERROR((P57-P58)/P49,"—")</f>
        <v>0.0525939647719162</v>
      </c>
      <c r="Q82" s="81" t="n">
        <f aca="false">IFERROR((Q57-Q58)/Q49,"—")</f>
        <v>-0.0228832949457765</v>
      </c>
    </row>
    <row r="83" customFormat="false" ht="15" hidden="false" customHeight="false" outlineLevel="0" collapsed="false">
      <c r="B83" s="16" t="s">
        <v>431</v>
      </c>
      <c r="C83" s="35" t="s">
        <v>371</v>
      </c>
      <c r="D83" s="80" t="n">
        <f aca="false">IFERROR(D52/D47,"—")</f>
        <v>0.739419364561941</v>
      </c>
      <c r="E83" s="80" t="n">
        <f aca="false">IFERROR(E52/E47,"—")</f>
        <v>0.627224046453126</v>
      </c>
      <c r="F83" s="80" t="n">
        <f aca="false">IFERROR(F52/F47,"—")</f>
        <v>0.576370610151232</v>
      </c>
      <c r="G83" s="80" t="n">
        <f aca="false">IFERROR(G52/G47,"—")</f>
        <v>0.526879075173611</v>
      </c>
      <c r="H83" s="80" t="n">
        <f aca="false">IFERROR(H52/H47,"—")</f>
        <v>0.610078081738528</v>
      </c>
      <c r="I83" s="80" t="n">
        <f aca="false">IFERROR(I52/I47,"—")</f>
        <v>0.540052143775316</v>
      </c>
      <c r="J83" s="80" t="n">
        <f aca="false">IFERROR(J52/J47,"—")</f>
        <v>0.527185207143988</v>
      </c>
      <c r="K83" s="80" t="n">
        <f aca="false">IFERROR(K52/K47,"—")</f>
        <v>0.563573922071483</v>
      </c>
      <c r="L83" s="80" t="n">
        <f aca="false">IFERROR(L52/L47,"—")</f>
        <v>0.823548020836428</v>
      </c>
      <c r="M83" s="80" t="n">
        <f aca="false">IFERROR(M52/M47,"—")</f>
        <v>0.683550417388829</v>
      </c>
      <c r="N83" s="80" t="n">
        <f aca="false">IFERROR(N52/N47,"—")</f>
        <v>0.570999509819802</v>
      </c>
      <c r="O83" s="80" t="n">
        <f aca="false">IFERROR(O52/O47,"—")</f>
        <v>0.570114724702364</v>
      </c>
      <c r="P83" s="80" t="n">
        <f aca="false">IFERROR(P52/P47,"—")</f>
        <v>0.675364029928866</v>
      </c>
      <c r="Q83" s="81" t="n">
        <f aca="false">IFERROR(Q52/Q47,"—")</f>
        <v>0.59898173024995</v>
      </c>
    </row>
    <row r="84" customFormat="false" ht="15" hidden="false" customHeight="false" outlineLevel="0" collapsed="false">
      <c r="B84" s="16" t="s">
        <v>433</v>
      </c>
      <c r="C84" s="35" t="s">
        <v>371</v>
      </c>
      <c r="D84" s="80" t="n">
        <f aca="false">IFERROR(D47/D46,"—")</f>
        <v>0.465940264195375</v>
      </c>
      <c r="E84" s="80" t="n">
        <f aca="false">IFERROR(E47/E46,"—")</f>
        <v>0.476292885533748</v>
      </c>
      <c r="F84" s="80" t="n">
        <f aca="false">IFERROR(F47/F46,"—")</f>
        <v>0.496229166583794</v>
      </c>
      <c r="G84" s="80" t="n">
        <f aca="false">IFERROR(G47/G46,"—")</f>
        <v>0.498854132532138</v>
      </c>
      <c r="H84" s="80" t="n">
        <f aca="false">IFERROR(H47/H46,"—")</f>
        <v>0.448611504349494</v>
      </c>
      <c r="I84" s="80" t="n">
        <f aca="false">IFERROR(I47/I46,"—")</f>
        <v>0.479566068412616</v>
      </c>
      <c r="J84" s="80" t="n">
        <f aca="false">IFERROR(J47/J46,"—")</f>
        <v>0.482977347090245</v>
      </c>
      <c r="K84" s="80" t="n">
        <f aca="false">IFERROR(K47/K46,"—")</f>
        <v>0.490384482165978</v>
      </c>
      <c r="L84" s="80" t="n">
        <f aca="false">IFERROR(L47/L46,"—")</f>
        <v>0.489830844205327</v>
      </c>
      <c r="M84" s="80" t="n">
        <f aca="false">IFERROR(M47/M46,"—")</f>
        <v>0.405364598809879</v>
      </c>
      <c r="N84" s="80" t="n">
        <f aca="false">IFERROR(N47/N46,"—")</f>
        <v>0.45028671706369</v>
      </c>
      <c r="O84" s="80" t="n">
        <f aca="false">IFERROR(O47/O46,"—")</f>
        <v>0.461079056207232</v>
      </c>
      <c r="P84" s="80" t="n">
        <f aca="false">IFERROR(P47/P46,"—")</f>
        <v>0.450990873035775</v>
      </c>
      <c r="Q84" s="81" t="n">
        <f aca="false">IFERROR(Q47/Q46,"—")</f>
        <v>0.468295110527917</v>
      </c>
    </row>
  </sheetData>
  <mergeCells count="64">
    <mergeCell ref="B1:Q1"/>
    <mergeCell ref="B2:Q2"/>
    <mergeCell ref="B3:Q3"/>
    <mergeCell ref="B7:Q7"/>
    <mergeCell ref="B16:Q16"/>
    <mergeCell ref="B17:Q17"/>
    <mergeCell ref="B18:Q18"/>
    <mergeCell ref="B20:Q20"/>
    <mergeCell ref="C21:E21"/>
    <mergeCell ref="K21:N21"/>
    <mergeCell ref="O21:Q21"/>
    <mergeCell ref="C22:E22"/>
    <mergeCell ref="K22:N22"/>
    <mergeCell ref="O22:Q22"/>
    <mergeCell ref="C23:E23"/>
    <mergeCell ref="K23:N23"/>
    <mergeCell ref="O23:Q23"/>
    <mergeCell ref="C24:E24"/>
    <mergeCell ref="K24:N24"/>
    <mergeCell ref="O24:Q24"/>
    <mergeCell ref="C25:E25"/>
    <mergeCell ref="K25:N25"/>
    <mergeCell ref="O25:Q25"/>
    <mergeCell ref="C26:E26"/>
    <mergeCell ref="K26:N26"/>
    <mergeCell ref="O26:Q26"/>
    <mergeCell ref="C27:E27"/>
    <mergeCell ref="K27:N27"/>
    <mergeCell ref="O27:Q27"/>
    <mergeCell ref="C28:E28"/>
    <mergeCell ref="K28:N28"/>
    <mergeCell ref="O28:Q28"/>
    <mergeCell ref="C29:E29"/>
    <mergeCell ref="K29:N29"/>
    <mergeCell ref="O29:Q29"/>
    <mergeCell ref="C30:E30"/>
    <mergeCell ref="K30:N30"/>
    <mergeCell ref="O30:Q30"/>
    <mergeCell ref="C31:E31"/>
    <mergeCell ref="K31:N31"/>
    <mergeCell ref="O31:Q31"/>
    <mergeCell ref="C32:E32"/>
    <mergeCell ref="K32:N32"/>
    <mergeCell ref="O32:Q32"/>
    <mergeCell ref="C33:E33"/>
    <mergeCell ref="K33:N33"/>
    <mergeCell ref="O33:Q33"/>
    <mergeCell ref="C34:E34"/>
    <mergeCell ref="K34:N34"/>
    <mergeCell ref="O34:Q34"/>
    <mergeCell ref="C35:E35"/>
    <mergeCell ref="K35:N35"/>
    <mergeCell ref="O35:Q35"/>
    <mergeCell ref="C36:E36"/>
    <mergeCell ref="K36:N36"/>
    <mergeCell ref="O36:Q36"/>
    <mergeCell ref="C37:E37"/>
    <mergeCell ref="K37:N37"/>
    <mergeCell ref="O37:Q37"/>
    <mergeCell ref="C38:E38"/>
    <mergeCell ref="K38:N38"/>
    <mergeCell ref="O38:Q38"/>
    <mergeCell ref="B39:Q39"/>
    <mergeCell ref="B41:Q41"/>
  </mergeCells>
  <conditionalFormatting sqref="E15:P15">
    <cfRule type="expression" priority="2" aboveAverage="0" equalAverage="0" bottom="0" percent="0" rank="0" text="" dxfId="0">
      <formula>E15="Levier fort"</formula>
    </cfRule>
    <cfRule type="expression" priority="3" aboveAverage="0" equalAverage="0" bottom="0" percent="0" rank="0" text="" dxfId="0">
      <formula>E15="REX résiste"</formula>
    </cfRule>
    <cfRule type="expression" priority="4" aboveAverage="0" equalAverage="0" bottom="0" percent="0" rank="0" text="" dxfId="2">
      <formula>E15="Proportionnel"</formula>
    </cfRule>
    <cfRule type="expression" priority="5" aboveAverage="0" equalAverage="0" bottom="0" percent="0" rank="0" text="" dxfId="3">
      <formula>E15="Marge érodée"</formula>
    </cfRule>
    <cfRule type="expression" priority="6" aboveAverage="0" equalAverage="0" bottom="0" percent="0" rank="0" text="" dxfId="3">
      <formula>E15="Baisse amortie"</formula>
    </cfRule>
    <cfRule type="expression" priority="7" aboveAverage="0" equalAverage="0" bottom="0" percent="0" rank="0" text="" dxfId="1">
      <formula>E15="REX stagne / sens contraire"</formula>
    </cfRule>
    <cfRule type="expression" priority="8" aboveAverage="0" equalAverage="0" bottom="0" percent="0" rank="0" text="" dxfId="1">
      <formula>E15="Chute amplifiée"</formula>
    </cfRule>
  </conditionalFormatting>
  <conditionalFormatting sqref="E14:P14">
    <cfRule type="expression" priority="9" aboveAverage="0" equalAverage="0" bottom="0" percent="0" rank="0" text="" dxfId="4">
      <formula>E14="n.s."</formula>
    </cfRule>
  </conditionalFormatting>
  <conditionalFormatting sqref="F22:F38 J22:J38">
    <cfRule type="expression" priority="10" aboveAverage="0" equalAverage="0" bottom="0" percent="0" rank="0" text="" dxfId="0">
      <formula>$J22="● Conforme"</formula>
    </cfRule>
    <cfRule type="expression" priority="11" aboveAverage="0" equalAverage="0" bottom="0" percent="0" rank="0" text="" dxfId="3">
      <formula>$J22="● Vigilance"</formula>
    </cfRule>
    <cfRule type="expression" priority="12" aboveAverage="0" equalAverage="0" bottom="0" percent="0" rank="0" text="" dxfId="1">
      <formula>$J22="● Alerte"</formula>
    </cfRule>
  </conditionalFormatting>
  <conditionalFormatting sqref="E68:Q68">
    <cfRule type="expression" priority="13" aboveAverage="0" equalAverage="0" bottom="0" percent="0" rank="0" text="" dxfId="5">
      <formula>AND(ISNUMBER(E68),E68&lt;=$S$22)</formula>
    </cfRule>
    <cfRule type="expression" priority="14" aboveAverage="0" equalAverage="0" bottom="0" percent="0" rank="0" text="" dxfId="6">
      <formula>AND(ISNUMBER(E68),E68&gt;$S$22,E68&lt;=$T$22)</formula>
    </cfRule>
    <cfRule type="expression" priority="15" aboveAverage="0" equalAverage="0" bottom="0" percent="0" rank="0" text="" dxfId="7">
      <formula>AND(ISNUMBER(E68),E68&gt;$T$22)</formula>
    </cfRule>
  </conditionalFormatting>
  <conditionalFormatting sqref="E69:Q69">
    <cfRule type="expression" priority="16" aboveAverage="0" equalAverage="0" bottom="0" percent="0" rank="0" text="" dxfId="5">
      <formula>AND(ISNUMBER(E69),E69&gt;=$S$23)</formula>
    </cfRule>
    <cfRule type="expression" priority="17" aboveAverage="0" equalAverage="0" bottom="0" percent="0" rank="0" text="" dxfId="6">
      <formula>AND(ISNUMBER(E69),E69&lt;$S$23,E69&gt;=$T$23)</formula>
    </cfRule>
    <cfRule type="expression" priority="18" aboveAverage="0" equalAverage="0" bottom="0" percent="0" rank="0" text="" dxfId="7">
      <formula>AND(ISNUMBER(E69),E69&lt;$T$23)</formula>
    </cfRule>
  </conditionalFormatting>
  <conditionalFormatting sqref="E70:Q70">
    <cfRule type="expression" priority="19" aboveAverage="0" equalAverage="0" bottom="0" percent="0" rank="0" text="" dxfId="5">
      <formula>AND(ISNUMBER(E70),E70&gt;=$S$24)</formula>
    </cfRule>
    <cfRule type="expression" priority="20" aboveAverage="0" equalAverage="0" bottom="0" percent="0" rank="0" text="" dxfId="6">
      <formula>AND(ISNUMBER(E70),E70&lt;$S$24,E70&gt;=$T$24)</formula>
    </cfRule>
    <cfRule type="expression" priority="21" aboveAverage="0" equalAverage="0" bottom="0" percent="0" rank="0" text="" dxfId="7">
      <formula>AND(ISNUMBER(E70),E70&lt;$T$24)</formula>
    </cfRule>
  </conditionalFormatting>
  <conditionalFormatting sqref="E71:Q71">
    <cfRule type="expression" priority="22" aboveAverage="0" equalAverage="0" bottom="0" percent="0" rank="0" text="" dxfId="5">
      <formula>AND(ISNUMBER(E71),E71&lt;=$S$25)</formula>
    </cfRule>
    <cfRule type="expression" priority="23" aboveAverage="0" equalAverage="0" bottom="0" percent="0" rank="0" text="" dxfId="6">
      <formula>AND(ISNUMBER(E71),E71&gt;$S$25,E71&lt;=$T$25)</formula>
    </cfRule>
    <cfRule type="expression" priority="24" aboveAverage="0" equalAverage="0" bottom="0" percent="0" rank="0" text="" dxfId="7">
      <formula>AND(ISNUMBER(E71),E71&gt;$T$25)</formula>
    </cfRule>
  </conditionalFormatting>
  <conditionalFormatting sqref="E72:Q72">
    <cfRule type="expression" priority="25" aboveAverage="0" equalAverage="0" bottom="0" percent="0" rank="0" text="" dxfId="5">
      <formula>AND(ISNUMBER(E72),E72&gt;=$S$26)</formula>
    </cfRule>
    <cfRule type="expression" priority="26" aboveAverage="0" equalAverage="0" bottom="0" percent="0" rank="0" text="" dxfId="6">
      <formula>AND(ISNUMBER(E72),E72&lt;$S$26,E72&gt;=$T$26)</formula>
    </cfRule>
    <cfRule type="expression" priority="27" aboveAverage="0" equalAverage="0" bottom="0" percent="0" rank="0" text="" dxfId="7">
      <formula>AND(ISNUMBER(E72),E72&lt;$T$26)</formula>
    </cfRule>
  </conditionalFormatting>
  <conditionalFormatting sqref="E73:Q73">
    <cfRule type="expression" priority="28" aboveAverage="0" equalAverage="0" bottom="0" percent="0" rank="0" text="" dxfId="5">
      <formula>AND(ISNUMBER(E73),E73&lt;=$S$27)</formula>
    </cfRule>
    <cfRule type="expression" priority="29" aboveAverage="0" equalAverage="0" bottom="0" percent="0" rank="0" text="" dxfId="6">
      <formula>AND(ISNUMBER(E73),E73&gt;$S$27,E73&lt;=$T$27)</formula>
    </cfRule>
    <cfRule type="expression" priority="30" aboveAverage="0" equalAverage="0" bottom="0" percent="0" rank="0" text="" dxfId="7">
      <formula>AND(ISNUMBER(E73),E73&gt;$T$27)</formula>
    </cfRule>
  </conditionalFormatting>
  <conditionalFormatting sqref="E74:Q74">
    <cfRule type="expression" priority="31" aboveAverage="0" equalAverage="0" bottom="0" percent="0" rank="0" text="" dxfId="5">
      <formula>AND(ISNUMBER(E74),E74&lt;=$S$28)</formula>
    </cfRule>
    <cfRule type="expression" priority="32" aboveAverage="0" equalAverage="0" bottom="0" percent="0" rank="0" text="" dxfId="6">
      <formula>AND(ISNUMBER(E74),E74&gt;$S$28,E74&lt;=$T$28)</formula>
    </cfRule>
    <cfRule type="expression" priority="33" aboveAverage="0" equalAverage="0" bottom="0" percent="0" rank="0" text="" dxfId="7">
      <formula>AND(ISNUMBER(E74),E74&gt;$T$28)</formula>
    </cfRule>
  </conditionalFormatting>
  <conditionalFormatting sqref="E75:Q75">
    <cfRule type="expression" priority="34" aboveAverage="0" equalAverage="0" bottom="0" percent="0" rank="0" text="" dxfId="5">
      <formula>AND(ISNUMBER(E75),E75&lt;=$S$29)</formula>
    </cfRule>
    <cfRule type="expression" priority="35" aboveAverage="0" equalAverage="0" bottom="0" percent="0" rank="0" text="" dxfId="6">
      <formula>AND(ISNUMBER(E75),E75&gt;$S$29,E75&lt;=$T$29)</formula>
    </cfRule>
    <cfRule type="expression" priority="36" aboveAverage="0" equalAverage="0" bottom="0" percent="0" rank="0" text="" dxfId="7">
      <formula>AND(ISNUMBER(E75),E75&gt;$T$29)</formula>
    </cfRule>
  </conditionalFormatting>
  <conditionalFormatting sqref="E76:Q76">
    <cfRule type="expression" priority="37" aboveAverage="0" equalAverage="0" bottom="0" percent="0" rank="0" text="" dxfId="5">
      <formula>AND(ISNUMBER(E76),E76&lt;=$S$30)</formula>
    </cfRule>
    <cfRule type="expression" priority="38" aboveAverage="0" equalAverage="0" bottom="0" percent="0" rank="0" text="" dxfId="6">
      <formula>AND(ISNUMBER(E76),E76&gt;$S$30,E76&lt;=$T$30)</formula>
    </cfRule>
    <cfRule type="expression" priority="39" aboveAverage="0" equalAverage="0" bottom="0" percent="0" rank="0" text="" dxfId="7">
      <formula>AND(ISNUMBER(E76),E76&gt;$T$30)</formula>
    </cfRule>
  </conditionalFormatting>
  <conditionalFormatting sqref="E77:Q77">
    <cfRule type="expression" priority="40" aboveAverage="0" equalAverage="0" bottom="0" percent="0" rank="0" text="" dxfId="5">
      <formula>AND(ISNUMBER(E77),E77&lt;=$S$31)</formula>
    </cfRule>
    <cfRule type="expression" priority="41" aboveAverage="0" equalAverage="0" bottom="0" percent="0" rank="0" text="" dxfId="6">
      <formula>AND(ISNUMBER(E77),E77&gt;$S$31,E77&lt;=$T$31)</formula>
    </cfRule>
    <cfRule type="expression" priority="42" aboveAverage="0" equalAverage="0" bottom="0" percent="0" rank="0" text="" dxfId="7">
      <formula>AND(ISNUMBER(E77),E77&gt;$T$31)</formula>
    </cfRule>
  </conditionalFormatting>
  <conditionalFormatting sqref="E78:Q78">
    <cfRule type="expression" priority="43" aboveAverage="0" equalAverage="0" bottom="0" percent="0" rank="0" text="" dxfId="5">
      <formula>AND(ISNUMBER(E78),E78&gt;=$S$32,E78&lt;=$T$32)</formula>
    </cfRule>
    <cfRule type="expression" priority="44" aboveAverage="0" equalAverage="0" bottom="0" percent="0" rank="0" text="" dxfId="6">
      <formula>AND(ISNUMBER(E78),OR(E78&lt;$S$32,AND(E78&gt;$T$32,E78&lt;=$U$32)))</formula>
    </cfRule>
    <cfRule type="expression" priority="45" aboveAverage="0" equalAverage="0" bottom="0" percent="0" rank="0" text="" dxfId="7">
      <formula>AND(ISNUMBER(E78),E78&gt;$U$32)</formula>
    </cfRule>
  </conditionalFormatting>
  <conditionalFormatting sqref="E79:Q79">
    <cfRule type="expression" priority="46" aboveAverage="0" equalAverage="0" bottom="0" percent="0" rank="0" text="" dxfId="5">
      <formula>AND(ISNUMBER(E79),E79&lt;=$S$33)</formula>
    </cfRule>
    <cfRule type="expression" priority="47" aboveAverage="0" equalAverage="0" bottom="0" percent="0" rank="0" text="" dxfId="6">
      <formula>AND(ISNUMBER(E79),E79&gt;$S$33,E79&lt;=$T$33)</formula>
    </cfRule>
    <cfRule type="expression" priority="48" aboveAverage="0" equalAverage="0" bottom="0" percent="0" rank="0" text="" dxfId="7">
      <formula>AND(ISNUMBER(E79),E79&gt;$T$33)</formula>
    </cfRule>
  </conditionalFormatting>
  <conditionalFormatting sqref="E80:Q80">
    <cfRule type="expression" priority="49" aboveAverage="0" equalAverage="0" bottom="0" percent="0" rank="0" text="" dxfId="5">
      <formula>AND(ISNUMBER(E80),E80&lt;=$S$34)</formula>
    </cfRule>
    <cfRule type="expression" priority="50" aboveAverage="0" equalAverage="0" bottom="0" percent="0" rank="0" text="" dxfId="6">
      <formula>AND(ISNUMBER(E80),E80&gt;$S$34,E80&lt;=$T$34)</formula>
    </cfRule>
    <cfRule type="expression" priority="51" aboveAverage="0" equalAverage="0" bottom="0" percent="0" rank="0" text="" dxfId="7">
      <formula>AND(ISNUMBER(E80),E80&gt;$T$34)</formula>
    </cfRule>
  </conditionalFormatting>
  <conditionalFormatting sqref="E81:Q81">
    <cfRule type="expression" priority="52" aboveAverage="0" equalAverage="0" bottom="0" percent="0" rank="0" text="" dxfId="5">
      <formula>AND(ISNUMBER(E81),E81&gt;=$S$35)</formula>
    </cfRule>
    <cfRule type="expression" priority="53" aboveAverage="0" equalAverage="0" bottom="0" percent="0" rank="0" text="" dxfId="6">
      <formula>AND(ISNUMBER(E81),E81&lt;$S$35,E81&gt;=$T$35)</formula>
    </cfRule>
    <cfRule type="expression" priority="54" aboveAverage="0" equalAverage="0" bottom="0" percent="0" rank="0" text="" dxfId="7">
      <formula>AND(ISNUMBER(E81),E81&lt;$T$35)</formula>
    </cfRule>
  </conditionalFormatting>
  <conditionalFormatting sqref="E82:Q82">
    <cfRule type="expression" priority="55" aboveAverage="0" equalAverage="0" bottom="0" percent="0" rank="0" text="" dxfId="5">
      <formula>AND(ISNUMBER(E82),ABS(E82)&lt;=$S$36)</formula>
    </cfRule>
    <cfRule type="expression" priority="56" aboveAverage="0" equalAverage="0" bottom="0" percent="0" rank="0" text="" dxfId="6">
      <formula>AND(ISNUMBER(E82),ABS(E82)&gt;$S$36,ABS(E82)&lt;=$T$36)</formula>
    </cfRule>
    <cfRule type="expression" priority="57" aboveAverage="0" equalAverage="0" bottom="0" percent="0" rank="0" text="" dxfId="7">
      <formula>AND(ISNUMBER(E82),ABS(E82)&gt;$T$36)</formula>
    </cfRule>
  </conditionalFormatting>
  <conditionalFormatting sqref="E83:Q83">
    <cfRule type="expression" priority="58" aboveAverage="0" equalAverage="0" bottom="0" percent="0" rank="0" text="" dxfId="5">
      <formula>AND(ISNUMBER(E83),E83&lt;=$S$37)</formula>
    </cfRule>
    <cfRule type="expression" priority="59" aboveAverage="0" equalAverage="0" bottom="0" percent="0" rank="0" text="" dxfId="6">
      <formula>AND(ISNUMBER(E83),E83&gt;$S$37,E83&lt;=$T$37)</formula>
    </cfRule>
    <cfRule type="expression" priority="60" aboveAverage="0" equalAverage="0" bottom="0" percent="0" rank="0" text="" dxfId="7">
      <formula>AND(ISNUMBER(E83),E83&gt;$T$37)</formula>
    </cfRule>
  </conditionalFormatting>
  <conditionalFormatting sqref="E84:Q84">
    <cfRule type="expression" priority="61" aboveAverage="0" equalAverage="0" bottom="0" percent="0" rank="0" text="" dxfId="5">
      <formula>AND(ISNUMBER(E84),E84&gt;=$S$38)</formula>
    </cfRule>
    <cfRule type="expression" priority="62" aboveAverage="0" equalAverage="0" bottom="0" percent="0" rank="0" text="" dxfId="6">
      <formula>AND(ISNUMBER(E84),E84&lt;$S$38,E84&gt;=$T$38)</formula>
    </cfRule>
    <cfRule type="expression" priority="63" aboveAverage="0" equalAverage="0" bottom="0" percent="0" rank="0" text="" dxfId="7">
      <formula>AND(ISNUMBER(E84),E84&lt;$T$38)</formula>
    </cfRule>
  </conditionalFormatting>
  <dataValidations count="1">
    <dataValidation allowBlank="false" error="Choisissez un mois dans la liste" errorStyle="stop" errorTitle="Mois" operator="between" prompt="Choisissez le mois à afficher" promptTitle="Sélecteur de mois" showDropDown="false" showErrorMessage="false" showInputMessage="false" sqref="C5" type="list">
      <formula1>"Janvier,Février,Mars,Avril,Mai,Juin,Juillet,Août,Septembre,Octobre,Novembre,Décembre"</formula1>
      <formula2>0</formula2>
    </dataValidation>
  </dataValidations>
  <hyperlinks>
    <hyperlink ref="B4" location="'Accueil'!A1" display="← Accueil"/>
  </hyperlinks>
  <printOptions headings="false" gridLines="false" gridLinesSet="true" horizontalCentered="true" verticalCentered="false"/>
  <pageMargins left="0.4" right="0.4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&amp;L&amp;"Calibri,Bold"AéroAtlas Composites SARL&amp;CExercice 2025 — Arrêté au 31/12/2025&amp;RResp. : Karim El Fassi (DAF)</oddHeader>
    <oddFooter>&amp;L&amp;A&amp;C&amp;"Calibri,Bold"Document confidentiel&amp;RPage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1:P6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746093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4" min="2" style="0" width="10.5"/>
    <col collapsed="false" customWidth="true" hidden="false" outlineLevel="0" max="5" min="5" style="0" width="3"/>
    <col collapsed="false" customWidth="true" hidden="false" outlineLevel="0" max="8" min="6" style="0" width="10.5"/>
    <col collapsed="false" customWidth="true" hidden="false" outlineLevel="0" max="9" min="9" style="0" width="3"/>
    <col collapsed="false" customWidth="true" hidden="false" outlineLevel="0" max="12" min="10" style="0" width="10.5"/>
    <col collapsed="false" customWidth="true" hidden="false" outlineLevel="0" max="13" min="13" style="0" width="3"/>
    <col collapsed="false" customWidth="true" hidden="false" outlineLevel="0" max="16" min="14" style="0" width="10.5"/>
    <col collapsed="false" customWidth="true" hidden="false" outlineLevel="0" max="17" min="17" style="0" width="6"/>
  </cols>
  <sheetData>
    <row r="1" customFormat="false" ht="33.75" hidden="false" customHeight="true" outlineLevel="0" collapsed="false">
      <c r="B1" s="1" t="s">
        <v>460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B2" s="2" t="str">
        <f aca="false">"Société : "&amp;Accueil!$C$8&amp;"     │     Exercice : "&amp;Accueil!$C$11&amp;"     │     Date d'arrêté : "&amp;Accueil!$C$12&amp;"     │     Responsable : "&amp;Accueil!$C$15</f>
        <v>Société : AéroAtlas Composites SARL     │     Exercice : 2025     │     Date d'arrêté : 31/12/2025     │     Responsable : Karim El Fassi (DAF)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3.75" hidden="false" customHeight="true" outlineLevel="0" collapsed="false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18" hidden="false" customHeight="true" outlineLevel="0" collapsed="false">
      <c r="B4" s="20" t="s">
        <v>60</v>
      </c>
      <c r="C4" s="4" t="s">
        <v>461</v>
      </c>
    </row>
    <row r="5" customFormat="false" ht="30" hidden="false" customHeight="true" outlineLevel="0" collapsed="false">
      <c r="B5" s="47" t="s">
        <v>462</v>
      </c>
      <c r="C5" s="48" t="s">
        <v>77</v>
      </c>
      <c r="D5" s="48"/>
      <c r="F5" s="4" t="s">
        <v>463</v>
      </c>
      <c r="P5" s="86" t="n">
        <f aca="false">MATCH($C$5,Reporting!$E$42:$P$42,0)</f>
        <v>12</v>
      </c>
    </row>
    <row r="7" customFormat="false" ht="24" hidden="false" customHeight="true" outlineLevel="0" collapsed="false">
      <c r="B7" s="87" t="s">
        <v>464</v>
      </c>
      <c r="C7" s="87"/>
      <c r="D7" s="87"/>
      <c r="F7" s="87" t="s">
        <v>465</v>
      </c>
      <c r="G7" s="87"/>
      <c r="H7" s="87"/>
      <c r="J7" s="87" t="s">
        <v>466</v>
      </c>
      <c r="K7" s="87"/>
      <c r="L7" s="87"/>
      <c r="N7" s="87" t="s">
        <v>467</v>
      </c>
      <c r="O7" s="87"/>
      <c r="P7" s="87"/>
    </row>
    <row r="8" customFormat="false" ht="24" hidden="false" customHeight="true" outlineLevel="0" collapsed="false">
      <c r="B8" s="88" t="n">
        <f aca="false">C61</f>
        <v>14100000</v>
      </c>
      <c r="C8" s="88"/>
      <c r="D8" s="88"/>
      <c r="F8" s="89" t="n">
        <f aca="false">C62</f>
        <v>72.597350461662</v>
      </c>
      <c r="G8" s="89"/>
      <c r="H8" s="89"/>
      <c r="J8" s="89" t="n">
        <f aca="false">C63</f>
        <v>78.7730270576658</v>
      </c>
      <c r="K8" s="89"/>
      <c r="L8" s="89"/>
      <c r="N8" s="90" t="n">
        <f aca="false">C65</f>
        <v>0.0605286665664382</v>
      </c>
      <c r="O8" s="90"/>
      <c r="P8" s="90"/>
    </row>
    <row r="9" customFormat="false" ht="24" hidden="false" customHeight="true" outlineLevel="0" collapsed="false">
      <c r="B9" s="88"/>
      <c r="C9" s="88"/>
      <c r="D9" s="88"/>
      <c r="F9" s="89"/>
      <c r="G9" s="89"/>
      <c r="H9" s="89"/>
      <c r="J9" s="89"/>
      <c r="K9" s="89"/>
      <c r="L9" s="89"/>
      <c r="N9" s="90"/>
      <c r="O9" s="90"/>
      <c r="P9" s="90"/>
    </row>
    <row r="10" customFormat="false" ht="19.5" hidden="false" customHeight="true" outlineLevel="0" collapsed="false">
      <c r="B10" s="91" t="str">
        <f aca="false">IFERROR(IF(F61&gt;=0,"▲ +","▼ ")&amp;FIXED(F61/ABS(D61)*100,1)&amp;" % vs mois précédent","—")</f>
        <v>▲ +14.6 % vs mois précédent</v>
      </c>
      <c r="C10" s="91"/>
      <c r="D10" s="91"/>
      <c r="F10" s="91" t="str">
        <f aca="false">IFERROR(IF(F62&gt;=0,"▲ +","▼ ")&amp;FIXED(F62,0)&amp;" j vs mois précédent","—")</f>
        <v>▼ -7 j vs mois précédent</v>
      </c>
      <c r="G10" s="91"/>
      <c r="H10" s="91"/>
      <c r="J10" s="91" t="str">
        <f aca="false">IFERROR(IF(F63&gt;=0,"▲ +","▼ ")&amp;FIXED(F63,0)&amp;" j vs mois précédent","—")</f>
        <v>▼ -6 j vs mois précédent</v>
      </c>
      <c r="K10" s="91"/>
      <c r="L10" s="91"/>
      <c r="N10" s="91" t="str">
        <f aca="false">IFERROR("RN du mois : "&amp;FIXED(C64/1000,0)&amp;" kMAD","—")</f>
        <v>RN du mois : 936 kMAD</v>
      </c>
      <c r="O10" s="91"/>
      <c r="P10" s="91"/>
    </row>
    <row r="11" customFormat="false" ht="21.75" hidden="false" customHeight="true" outlineLevel="0" collapsed="false">
      <c r="B11" s="92" t="str">
        <f aca="false">"Cumul à fin "&amp;LOWER($C$5)&amp;" : "&amp;FIXED(SUM(Reporting!$E$44:INDEX(Reporting!$E$44:$P$44,$P$5))/1000,0)&amp;" kMAD"</f>
        <v>Cumul à fin décembre : 142,000 kMAD</v>
      </c>
      <c r="C11" s="92"/>
      <c r="D11" s="92"/>
      <c r="F11" s="92" t="str">
        <f aca="false">IF(ISNUMBER(C62),IF(C62&lt;=Reporting!$S$31,"● Conforme",IF(C62&lt;=Reporting!$T$31,"● Vigilance","● Alerte"))&amp;"  (cible ≤ "&amp;Reporting!$S$31&amp;" j)","—")</f>
        <v>● Vigilance  (cible ≤ 60 j)</v>
      </c>
      <c r="G11" s="92"/>
      <c r="H11" s="92"/>
      <c r="J11" s="92" t="str">
        <f aca="false">IF(ISNUMBER(C63),IF(AND(C63&gt;=Reporting!$S$32,C63&lt;=Reporting!$T$32),"● Conforme",IF(C63&gt;Reporting!$U$32,"● Alerte","● Vigilance"))&amp;"  (cible "&amp;Reporting!$S$32&amp;"–"&amp;Reporting!$T$32&amp;" j)","—")</f>
        <v>● Conforme  (cible 60–90 j)</v>
      </c>
      <c r="K11" s="92"/>
      <c r="L11" s="92"/>
      <c r="N11" s="92" t="str">
        <f aca="false">IF(ISNUMBER(C65),IF(C65&gt;=Reporting!$S$24,"● Conforme",IF(C65&gt;=Reporting!$T$24,"● Vigilance","● Alerte"))&amp;"  (cible ≥ +5 %)","—")</f>
        <v>● Conforme  (cible ≥ +5 %)</v>
      </c>
      <c r="O11" s="92"/>
      <c r="P11" s="92"/>
    </row>
    <row r="12" customFormat="false" ht="7.5" hidden="false" customHeight="true" outlineLevel="0" collapsed="false"/>
    <row r="51" customFormat="false" ht="24" hidden="false" customHeight="true" outlineLevel="0" collapsed="false">
      <c r="B51" s="6" t="s">
        <v>468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customFormat="false" ht="19.5" hidden="false" customHeight="true" outlineLevel="0" collapsed="false">
      <c r="B52" s="93" t="s">
        <v>469</v>
      </c>
      <c r="C52" s="93" t="str">
        <f aca="false">Reporting!E$42</f>
        <v>Janvier</v>
      </c>
      <c r="D52" s="93" t="str">
        <f aca="false">Reporting!F$42</f>
        <v>Février</v>
      </c>
      <c r="E52" s="93" t="str">
        <f aca="false">Reporting!G$42</f>
        <v>Mars</v>
      </c>
      <c r="F52" s="93" t="str">
        <f aca="false">Reporting!H$42</f>
        <v>Avril</v>
      </c>
      <c r="G52" s="93" t="str">
        <f aca="false">Reporting!I$42</f>
        <v>Mai</v>
      </c>
      <c r="H52" s="93" t="str">
        <f aca="false">Reporting!J$42</f>
        <v>Juin</v>
      </c>
      <c r="I52" s="93" t="str">
        <f aca="false">Reporting!K$42</f>
        <v>Juillet</v>
      </c>
      <c r="J52" s="93" t="str">
        <f aca="false">Reporting!L$42</f>
        <v>Août</v>
      </c>
      <c r="K52" s="93" t="str">
        <f aca="false">Reporting!M$42</f>
        <v>Septembre</v>
      </c>
      <c r="L52" s="93" t="str">
        <f aca="false">Reporting!N$42</f>
        <v>Octobre</v>
      </c>
      <c r="M52" s="93" t="str">
        <f aca="false">Reporting!O$42</f>
        <v>Novembre</v>
      </c>
      <c r="N52" s="93" t="str">
        <f aca="false">Reporting!P$42</f>
        <v>Décembre</v>
      </c>
    </row>
    <row r="53" customFormat="false" ht="15" hidden="false" customHeight="false" outlineLevel="0" collapsed="false">
      <c r="B53" s="94" t="s">
        <v>216</v>
      </c>
      <c r="C53" s="95" t="n">
        <f aca="false">Reporting!E44</f>
        <v>10800000</v>
      </c>
      <c r="D53" s="95" t="n">
        <f aca="false">Reporting!F44</f>
        <v>11200000</v>
      </c>
      <c r="E53" s="95" t="n">
        <f aca="false">Reporting!G44</f>
        <v>12400000</v>
      </c>
      <c r="F53" s="95" t="n">
        <f aca="false">Reporting!H44</f>
        <v>11900000</v>
      </c>
      <c r="G53" s="95" t="n">
        <f aca="false">Reporting!I44</f>
        <v>12600000</v>
      </c>
      <c r="H53" s="95" t="n">
        <f aca="false">Reporting!J44</f>
        <v>12800000</v>
      </c>
      <c r="I53" s="95" t="n">
        <f aca="false">Reporting!K44</f>
        <v>11600000</v>
      </c>
      <c r="J53" s="95" t="n">
        <f aca="false">Reporting!L44</f>
        <v>7400000</v>
      </c>
      <c r="K53" s="95" t="n">
        <f aca="false">Reporting!M44</f>
        <v>12100000</v>
      </c>
      <c r="L53" s="95" t="n">
        <f aca="false">Reporting!N44</f>
        <v>12800000</v>
      </c>
      <c r="M53" s="95" t="n">
        <f aca="false">Reporting!O44</f>
        <v>12300000</v>
      </c>
      <c r="N53" s="95" t="n">
        <f aca="false">Reporting!P44</f>
        <v>14100000</v>
      </c>
    </row>
    <row r="54" customFormat="false" ht="15" hidden="false" customHeight="false" outlineLevel="0" collapsed="false">
      <c r="B54" s="94" t="s">
        <v>470</v>
      </c>
      <c r="C54" s="95" t="n">
        <f aca="false">IF(C$52=$C$5,C53,0)</f>
        <v>0</v>
      </c>
      <c r="D54" s="95" t="n">
        <f aca="false">IF(D$52=$C$5,D53,0)</f>
        <v>0</v>
      </c>
      <c r="E54" s="95" t="n">
        <f aca="false">IF(E$52=$C$5,E53,0)</f>
        <v>0</v>
      </c>
      <c r="F54" s="95" t="n">
        <f aca="false">IF(F$52=$C$5,F53,0)</f>
        <v>0</v>
      </c>
      <c r="G54" s="95" t="n">
        <f aca="false">IF(G$52=$C$5,G53,0)</f>
        <v>0</v>
      </c>
      <c r="H54" s="95" t="n">
        <f aca="false">IF(H$52=$C$5,H53,0)</f>
        <v>0</v>
      </c>
      <c r="I54" s="95" t="n">
        <f aca="false">IF(I$52=$C$5,I53,0)</f>
        <v>0</v>
      </c>
      <c r="J54" s="95" t="n">
        <f aca="false">IF(J$52=$C$5,J53,0)</f>
        <v>0</v>
      </c>
      <c r="K54" s="95" t="n">
        <f aca="false">IF(K$52=$C$5,K53,0)</f>
        <v>0</v>
      </c>
      <c r="L54" s="95" t="n">
        <f aca="false">IF(L$52=$C$5,L53,0)</f>
        <v>0</v>
      </c>
      <c r="M54" s="95" t="n">
        <f aca="false">IF(M$52=$C$5,M53,0)</f>
        <v>0</v>
      </c>
      <c r="N54" s="95" t="n">
        <f aca="false">IF(N$52=$C$5,N53,0)</f>
        <v>14100000</v>
      </c>
    </row>
    <row r="55" customFormat="false" ht="15" hidden="false" customHeight="false" outlineLevel="0" collapsed="false">
      <c r="B55" s="94" t="s">
        <v>471</v>
      </c>
      <c r="C55" s="95" t="n">
        <f aca="false">Reporting!E50</f>
        <v>735670.370000001</v>
      </c>
      <c r="D55" s="95" t="n">
        <f aca="false">Reporting!F50</f>
        <v>1066687.78</v>
      </c>
      <c r="E55" s="95" t="n">
        <f aca="false">Reporting!G50</f>
        <v>1066132.8</v>
      </c>
      <c r="F55" s="95" t="n">
        <f aca="false">Reporting!H50</f>
        <v>855598.549999998</v>
      </c>
      <c r="G55" s="95" t="n">
        <f aca="false">Reporting!I50</f>
        <v>1430961.95</v>
      </c>
      <c r="H55" s="95" t="n">
        <f aca="false">Reporting!J50</f>
        <v>1681883.19</v>
      </c>
      <c r="I55" s="95" t="n">
        <f aca="false">Reporting!K50</f>
        <v>1184822.39</v>
      </c>
      <c r="J55" s="95" t="n">
        <f aca="false">Reporting!L50</f>
        <v>-397484.53</v>
      </c>
      <c r="K55" s="95" t="n">
        <f aca="false">Reporting!M50</f>
        <v>357799.440000001</v>
      </c>
      <c r="L55" s="95" t="n">
        <f aca="false">Reporting!N50</f>
        <v>1158549.93</v>
      </c>
      <c r="M55" s="95" t="n">
        <f aca="false">Reporting!O50</f>
        <v>882966.75</v>
      </c>
      <c r="N55" s="95" t="n">
        <f aca="false">Reporting!P50</f>
        <v>936411.550000001</v>
      </c>
    </row>
    <row r="56" customFormat="false" ht="15" hidden="false" customHeight="false" outlineLevel="0" collapsed="false">
      <c r="B56" s="94" t="s">
        <v>472</v>
      </c>
      <c r="C56" s="95" t="n">
        <f aca="false">Reporting!E47</f>
        <v>5169667.2</v>
      </c>
      <c r="D56" s="95" t="n">
        <f aca="false">Reporting!F47</f>
        <v>5633560.53</v>
      </c>
      <c r="E56" s="95" t="n">
        <f aca="false">Reporting!G47</f>
        <v>6259937.29</v>
      </c>
      <c r="F56" s="95" t="n">
        <f aca="false">Reporting!H47</f>
        <v>5361457.21</v>
      </c>
      <c r="G56" s="95" t="n">
        <f aca="false">Reporting!I47</f>
        <v>6112188.81</v>
      </c>
      <c r="H56" s="95" t="n">
        <f aca="false">Reporting!J47</f>
        <v>6204176.93</v>
      </c>
      <c r="I56" s="95" t="n">
        <f aca="false">Reporting!K47</f>
        <v>5812165.79</v>
      </c>
      <c r="J56" s="95" t="n">
        <f aca="false">Reporting!L47</f>
        <v>3707489.67</v>
      </c>
      <c r="K56" s="95" t="n">
        <f aca="false">Reporting!M47</f>
        <v>4844218.05</v>
      </c>
      <c r="L56" s="95" t="n">
        <f aca="false">Reporting!N47</f>
        <v>5783954.58</v>
      </c>
      <c r="M56" s="95" t="n">
        <f aca="false">Reporting!O47</f>
        <v>5738832.06</v>
      </c>
      <c r="N56" s="95" t="n">
        <f aca="false">Reporting!P47</f>
        <v>6152351.97</v>
      </c>
    </row>
    <row r="57" customFormat="false" ht="15" hidden="false" customHeight="false" outlineLevel="0" collapsed="false">
      <c r="B57" s="94" t="s">
        <v>473</v>
      </c>
      <c r="C57" s="95" t="n">
        <f aca="false">MAX(Reporting!E49,0)</f>
        <v>1111452.89</v>
      </c>
      <c r="D57" s="95" t="n">
        <f aca="false">MAX(Reporting!F49,0)</f>
        <v>1572441.61</v>
      </c>
      <c r="E57" s="95" t="n">
        <f aca="false">MAX(Reporting!G49,0)</f>
        <v>2298955.08</v>
      </c>
      <c r="F57" s="95" t="n">
        <f aca="false">MAX(Reporting!H49,0)</f>
        <v>1272562.42</v>
      </c>
      <c r="G57" s="95" t="n">
        <f aca="false">MAX(Reporting!I49,0)</f>
        <v>1989100.61</v>
      </c>
      <c r="H57" s="95" t="n">
        <f aca="false">MAX(Reporting!J49,0)</f>
        <v>2269994.2</v>
      </c>
      <c r="I57" s="95" t="n">
        <f aca="false">MAX(Reporting!K49,0)</f>
        <v>1718104.07</v>
      </c>
      <c r="J57" s="95" t="n">
        <f aca="false">MAX(Reporting!L49,0)</f>
        <v>0</v>
      </c>
      <c r="K57" s="95" t="n">
        <f aca="false">MAX(Reporting!M49,0)</f>
        <v>866783.030000001</v>
      </c>
      <c r="L57" s="95" t="n">
        <f aca="false">MAX(Reporting!N49,0)</f>
        <v>1667251.9</v>
      </c>
      <c r="M57" s="95" t="n">
        <f aca="false">MAX(Reporting!O49,0)</f>
        <v>1547031.02</v>
      </c>
      <c r="N57" s="95" t="n">
        <f aca="false">MAX(Reporting!P49,0)</f>
        <v>1330951.19</v>
      </c>
    </row>
    <row r="58" customFormat="false" ht="15" hidden="false" customHeight="false" outlineLevel="0" collapsed="false">
      <c r="B58" s="94" t="s">
        <v>474</v>
      </c>
      <c r="C58" s="95" t="n">
        <f aca="false">MIN(Reporting!E49,0)</f>
        <v>0</v>
      </c>
      <c r="D58" s="95" t="n">
        <f aca="false">MIN(Reporting!F49,0)</f>
        <v>0</v>
      </c>
      <c r="E58" s="95" t="n">
        <f aca="false">MIN(Reporting!G49,0)</f>
        <v>0</v>
      </c>
      <c r="F58" s="95" t="n">
        <f aca="false">MIN(Reporting!H49,0)</f>
        <v>0</v>
      </c>
      <c r="G58" s="95" t="n">
        <f aca="false">MIN(Reporting!I49,0)</f>
        <v>0</v>
      </c>
      <c r="H58" s="95" t="n">
        <f aca="false">MIN(Reporting!J49,0)</f>
        <v>0</v>
      </c>
      <c r="I58" s="95" t="n">
        <f aca="false">MIN(Reporting!K49,0)</f>
        <v>0</v>
      </c>
      <c r="J58" s="95" t="n">
        <f aca="false">MIN(Reporting!L49,0)</f>
        <v>-164627.83</v>
      </c>
      <c r="K58" s="95" t="n">
        <f aca="false">MIN(Reporting!M49,0)</f>
        <v>0</v>
      </c>
      <c r="L58" s="95" t="n">
        <f aca="false">MIN(Reporting!N49,0)</f>
        <v>0</v>
      </c>
      <c r="M58" s="95" t="n">
        <f aca="false">MIN(Reporting!O49,0)</f>
        <v>0</v>
      </c>
      <c r="N58" s="95" t="n">
        <f aca="false">MIN(Reporting!P49,0)</f>
        <v>0</v>
      </c>
    </row>
    <row r="60" customFormat="false" ht="15" hidden="false" customHeight="false" outlineLevel="0" collapsed="false">
      <c r="B60" s="93" t="s">
        <v>475</v>
      </c>
      <c r="C60" s="93" t="s">
        <v>476</v>
      </c>
      <c r="D60" s="93" t="s">
        <v>477</v>
      </c>
      <c r="F60" s="93" t="s">
        <v>478</v>
      </c>
    </row>
    <row r="61" customFormat="false" ht="15" hidden="false" customHeight="false" outlineLevel="0" collapsed="false">
      <c r="B61" s="94" t="s">
        <v>479</v>
      </c>
      <c r="C61" s="96" t="n">
        <f aca="false">IFERROR(INDEX(Reporting!$E$44:$P$44,$P$5),"—")</f>
        <v>14100000</v>
      </c>
      <c r="D61" s="96" t="n">
        <f aca="false">IFERROR(INDEX(Reporting!$D$44:$O$44,$P$5),"—")</f>
        <v>12300000</v>
      </c>
      <c r="F61" s="96" t="n">
        <f aca="false">IFERROR(C61-D61,"—")</f>
        <v>1800000</v>
      </c>
    </row>
    <row r="62" customFormat="false" ht="15" hidden="false" customHeight="false" outlineLevel="0" collapsed="false">
      <c r="B62" s="94" t="s">
        <v>480</v>
      </c>
      <c r="C62" s="97" t="n">
        <f aca="false">IFERROR(INDEX(Reporting!$E$77:$P$77,$P$5),"—")</f>
        <v>72.597350461662</v>
      </c>
      <c r="D62" s="97" t="n">
        <f aca="false">IFERROR(INDEX(Reporting!$D$77:$O$77,$P$5),"—")</f>
        <v>79.1969627243442</v>
      </c>
      <c r="F62" s="97" t="n">
        <f aca="false">IFERROR(C62-D62,"—")</f>
        <v>-6.59961226268223</v>
      </c>
    </row>
    <row r="63" customFormat="false" ht="15" hidden="false" customHeight="false" outlineLevel="0" collapsed="false">
      <c r="B63" s="94" t="s">
        <v>481</v>
      </c>
      <c r="C63" s="97" t="n">
        <f aca="false">IFERROR(INDEX(Reporting!$E$78:$P$78,$P$5),"—")</f>
        <v>78.7730270576658</v>
      </c>
      <c r="D63" s="97" t="n">
        <f aca="false">IFERROR(INDEX(Reporting!$D$78:$O$78,$P$5),"—")</f>
        <v>84.8787063817831</v>
      </c>
      <c r="F63" s="97" t="n">
        <f aca="false">IFERROR(C63-D63,"—")</f>
        <v>-6.10567932411729</v>
      </c>
    </row>
    <row r="64" customFormat="false" ht="15" hidden="false" customHeight="false" outlineLevel="0" collapsed="false">
      <c r="B64" s="94" t="s">
        <v>471</v>
      </c>
      <c r="C64" s="96" t="n">
        <f aca="false">IFERROR(INDEX(Reporting!$E$50:$P$50,$P$5),"—")</f>
        <v>936411.550000001</v>
      </c>
      <c r="D64" s="96" t="n">
        <f aca="false">IFERROR(INDEX(Reporting!$D$50:$O$50,$P$5),"—")</f>
        <v>882966.75</v>
      </c>
      <c r="F64" s="96" t="n">
        <f aca="false">IFERROR(C64-D64,"—")</f>
        <v>53444.8000000016</v>
      </c>
    </row>
    <row r="65" customFormat="false" ht="15" hidden="false" customHeight="false" outlineLevel="0" collapsed="false">
      <c r="B65" s="94" t="s">
        <v>482</v>
      </c>
      <c r="C65" s="98" t="n">
        <f aca="false">IFERROR(INDEX(Reporting!$E$70:$P$70,$P$5),"—")</f>
        <v>0.0605286665664382</v>
      </c>
      <c r="D65" s="98" t="n">
        <f aca="false">IFERROR(INDEX(Reporting!$D$70:$O$70,$P$5),"—")</f>
        <v>-0.237869057572685</v>
      </c>
      <c r="F65" s="98" t="n">
        <f aca="false">IFERROR(C65-D65,"—")</f>
        <v>0.298397724139123</v>
      </c>
    </row>
  </sheetData>
  <mergeCells count="21">
    <mergeCell ref="B1:P1"/>
    <mergeCell ref="B2:P2"/>
    <mergeCell ref="B3:P3"/>
    <mergeCell ref="C5:D5"/>
    <mergeCell ref="B7:D7"/>
    <mergeCell ref="F7:H7"/>
    <mergeCell ref="J7:L7"/>
    <mergeCell ref="N7:P7"/>
    <mergeCell ref="B8:D9"/>
    <mergeCell ref="F8:H9"/>
    <mergeCell ref="J8:L9"/>
    <mergeCell ref="N8:P9"/>
    <mergeCell ref="B10:D10"/>
    <mergeCell ref="F10:H10"/>
    <mergeCell ref="J10:L10"/>
    <mergeCell ref="N10:P10"/>
    <mergeCell ref="B11:D11"/>
    <mergeCell ref="F11:H11"/>
    <mergeCell ref="J11:L11"/>
    <mergeCell ref="N11:P11"/>
    <mergeCell ref="B51:P51"/>
  </mergeCells>
  <conditionalFormatting sqref="B10">
    <cfRule type="expression" priority="2" aboveAverage="0" equalAverage="0" bottom="0" percent="0" rank="0" text="" dxfId="8">
      <formula>$F$61&gt;=0</formula>
    </cfRule>
    <cfRule type="expression" priority="3" aboveAverage="0" equalAverage="0" bottom="0" percent="0" rank="0" text="" dxfId="9">
      <formula>NOT($F$61&gt;=0)</formula>
    </cfRule>
  </conditionalFormatting>
  <conditionalFormatting sqref="B11">
    <cfRule type="expression" priority="4" aboveAverage="0" equalAverage="0" bottom="0" percent="0" rank="0" text="" dxfId="0">
      <formula>ISNUMBER(SEARCH("Conforme",B11))</formula>
    </cfRule>
    <cfRule type="expression" priority="5" aboveAverage="0" equalAverage="0" bottom="0" percent="0" rank="0" text="" dxfId="3">
      <formula>ISNUMBER(SEARCH("Vigilance",B11))</formula>
    </cfRule>
    <cfRule type="expression" priority="6" aboveAverage="0" equalAverage="0" bottom="0" percent="0" rank="0" text="" dxfId="1">
      <formula>ISNUMBER(SEARCH("Alerte",B11))</formula>
    </cfRule>
  </conditionalFormatting>
  <conditionalFormatting sqref="F10">
    <cfRule type="expression" priority="7" aboveAverage="0" equalAverage="0" bottom="0" percent="0" rank="0" text="" dxfId="8">
      <formula>$F$62&lt;=0</formula>
    </cfRule>
    <cfRule type="expression" priority="8" aboveAverage="0" equalAverage="0" bottom="0" percent="0" rank="0" text="" dxfId="9">
      <formula>NOT($F$62&lt;=0)</formula>
    </cfRule>
  </conditionalFormatting>
  <conditionalFormatting sqref="F11">
    <cfRule type="expression" priority="9" aboveAverage="0" equalAverage="0" bottom="0" percent="0" rank="0" text="" dxfId="0">
      <formula>ISNUMBER(SEARCH("Conforme",F11))</formula>
    </cfRule>
    <cfRule type="expression" priority="10" aboveAverage="0" equalAverage="0" bottom="0" percent="0" rank="0" text="" dxfId="3">
      <formula>ISNUMBER(SEARCH("Vigilance",F11))</formula>
    </cfRule>
    <cfRule type="expression" priority="11" aboveAverage="0" equalAverage="0" bottom="0" percent="0" rank="0" text="" dxfId="1">
      <formula>ISNUMBER(SEARCH("Alerte",F11))</formula>
    </cfRule>
  </conditionalFormatting>
  <conditionalFormatting sqref="J11">
    <cfRule type="expression" priority="12" aboveAverage="0" equalAverage="0" bottom="0" percent="0" rank="0" text="" dxfId="0">
      <formula>ISNUMBER(SEARCH("Conforme",J11))</formula>
    </cfRule>
    <cfRule type="expression" priority="13" aboveAverage="0" equalAverage="0" bottom="0" percent="0" rank="0" text="" dxfId="3">
      <formula>ISNUMBER(SEARCH("Vigilance",J11))</formula>
    </cfRule>
    <cfRule type="expression" priority="14" aboveAverage="0" equalAverage="0" bottom="0" percent="0" rank="0" text="" dxfId="1">
      <formula>ISNUMBER(SEARCH("Alerte",J11))</formula>
    </cfRule>
  </conditionalFormatting>
  <conditionalFormatting sqref="N10">
    <cfRule type="expression" priority="15" aboveAverage="0" equalAverage="0" bottom="0" percent="0" rank="0" text="" dxfId="8">
      <formula>AND(ISNUMBER($C$65),$C$65&gt;=0)</formula>
    </cfRule>
    <cfRule type="expression" priority="16" aboveAverage="0" equalAverage="0" bottom="0" percent="0" rank="0" text="" dxfId="9">
      <formula>NOT(AND(ISNUMBER($C$65),$C$65&gt;=0))</formula>
    </cfRule>
  </conditionalFormatting>
  <conditionalFormatting sqref="N11">
    <cfRule type="expression" priority="17" aboveAverage="0" equalAverage="0" bottom="0" percent="0" rank="0" text="" dxfId="0">
      <formula>ISNUMBER(SEARCH("Conforme",N11))</formula>
    </cfRule>
    <cfRule type="expression" priority="18" aboveAverage="0" equalAverage="0" bottom="0" percent="0" rank="0" text="" dxfId="3">
      <formula>ISNUMBER(SEARCH("Vigilance",N11))</formula>
    </cfRule>
    <cfRule type="expression" priority="19" aboveAverage="0" equalAverage="0" bottom="0" percent="0" rank="0" text="" dxfId="1">
      <formula>ISNUMBER(SEARCH("Alerte",N11))</formula>
    </cfRule>
  </conditionalFormatting>
  <dataValidations count="1">
    <dataValidation allowBlank="false" errorStyle="stop" operator="between" prompt="Choisissez le mois à afficher" promptTitle="Sélecteur de mois" showDropDown="false" showErrorMessage="false" showInputMessage="false" sqref="C5" type="list">
      <formula1>"Janvier,Février,Mars,Avril,Mai,Juin,Juillet,Août,Septembre,Octobre,Novembre,Décembre"</formula1>
      <formula2>0</formula2>
    </dataValidation>
  </dataValidations>
  <hyperlinks>
    <hyperlink ref="B4" location="'Accueil'!A1" display="← Accueil"/>
  </hyperlinks>
  <printOptions headings="false" gridLines="false" gridLinesSet="true" horizontalCentered="true" verticalCentered="false"/>
  <pageMargins left="0.4" right="0.4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&amp;L&amp;"Calibri,Bold"AéroAtlas Composites SARL&amp;CExercice 2025 — Arrêté au 31/12/2025&amp;RResp. : Karim El Fassi (DAF)</oddHeader>
    <oddFooter>&amp;L&amp;A&amp;C&amp;"Calibri,Bold"Document confidentiel&amp;RPage &amp;P /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2C4E"/>
    <pageSetUpPr fitToPage="true"/>
  </sheetPr>
  <dimension ref="B1:E4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746093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64"/>
    <col collapsed="false" customWidth="true" hidden="false" outlineLevel="0" max="4" min="4" style="0" width="46"/>
    <col collapsed="false" customWidth="true" hidden="false" outlineLevel="0" max="5" min="5" style="0" width="40"/>
  </cols>
  <sheetData>
    <row r="1" customFormat="false" ht="33.75" hidden="false" customHeight="true" outlineLevel="0" collapsed="false">
      <c r="B1" s="1" t="s">
        <v>483</v>
      </c>
      <c r="C1" s="1"/>
      <c r="D1" s="1"/>
      <c r="E1" s="1"/>
    </row>
    <row r="2" customFormat="false" ht="19.5" hidden="false" customHeight="true" outlineLevel="0" collapsed="false">
      <c r="B2" s="2" t="str">
        <f aca="false">"Société : "&amp;Accueil!$C$8&amp;"     │     Exercice : "&amp;Accueil!$C$11&amp;"     │     Date d'arrêté : "&amp;Accueil!$C$12&amp;"     │     Responsable : "&amp;Accueil!$C$15</f>
        <v>Société : AéroAtlas Composites SARL     │     Exercice : 2025     │     Date d'arrêté : 31/12/2025     │     Responsable : Karim El Fassi (DAF)</v>
      </c>
      <c r="C2" s="2"/>
      <c r="D2" s="2"/>
      <c r="E2" s="2"/>
    </row>
    <row r="3" customFormat="false" ht="3.75" hidden="false" customHeight="true" outlineLevel="0" collapsed="false">
      <c r="B3" s="3"/>
      <c r="C3" s="3"/>
      <c r="D3" s="3"/>
      <c r="E3" s="3"/>
    </row>
    <row r="4" customFormat="false" ht="18" hidden="false" customHeight="true" outlineLevel="0" collapsed="false">
      <c r="B4" s="20" t="s">
        <v>60</v>
      </c>
      <c r="C4" s="4" t="s">
        <v>484</v>
      </c>
    </row>
    <row r="6" customFormat="false" ht="30" hidden="false" customHeight="true" outlineLevel="0" collapsed="false">
      <c r="B6" s="12" t="s">
        <v>485</v>
      </c>
      <c r="C6" s="12" t="s">
        <v>486</v>
      </c>
      <c r="D6" s="12" t="s">
        <v>487</v>
      </c>
      <c r="E6" s="12" t="s">
        <v>488</v>
      </c>
    </row>
    <row r="7" customFormat="false" ht="42" hidden="false" customHeight="true" outlineLevel="0" collapsed="false">
      <c r="B7" s="13" t="s">
        <v>368</v>
      </c>
      <c r="C7" s="14" t="s">
        <v>489</v>
      </c>
      <c r="D7" s="14" t="s">
        <v>490</v>
      </c>
      <c r="E7" s="99" t="s">
        <v>491</v>
      </c>
    </row>
    <row r="8" customFormat="false" ht="42" hidden="false" customHeight="true" outlineLevel="0" collapsed="false">
      <c r="B8" s="100" t="s">
        <v>492</v>
      </c>
      <c r="C8" s="101" t="s">
        <v>493</v>
      </c>
      <c r="D8" s="101" t="s">
        <v>494</v>
      </c>
      <c r="E8" s="102" t="s">
        <v>495</v>
      </c>
    </row>
    <row r="9" customFormat="false" ht="42" hidden="false" customHeight="true" outlineLevel="0" collapsed="false">
      <c r="B9" s="13" t="s">
        <v>496</v>
      </c>
      <c r="C9" s="14" t="s">
        <v>497</v>
      </c>
      <c r="D9" s="14" t="s">
        <v>498</v>
      </c>
      <c r="E9" s="99" t="s">
        <v>499</v>
      </c>
    </row>
    <row r="10" customFormat="false" ht="42" hidden="false" customHeight="true" outlineLevel="0" collapsed="false">
      <c r="B10" s="100" t="s">
        <v>373</v>
      </c>
      <c r="C10" s="101" t="s">
        <v>500</v>
      </c>
      <c r="D10" s="101" t="s">
        <v>501</v>
      </c>
      <c r="E10" s="102" t="s">
        <v>502</v>
      </c>
    </row>
    <row r="11" customFormat="false" ht="42" hidden="false" customHeight="true" outlineLevel="0" collapsed="false">
      <c r="B11" s="13" t="s">
        <v>503</v>
      </c>
      <c r="C11" s="14" t="s">
        <v>504</v>
      </c>
      <c r="D11" s="14" t="s">
        <v>505</v>
      </c>
      <c r="E11" s="99" t="s">
        <v>506</v>
      </c>
    </row>
    <row r="12" customFormat="false" ht="42" hidden="false" customHeight="true" outlineLevel="0" collapsed="false">
      <c r="B12" s="100" t="s">
        <v>507</v>
      </c>
      <c r="C12" s="101" t="s">
        <v>508</v>
      </c>
      <c r="D12" s="101" t="s">
        <v>509</v>
      </c>
      <c r="E12" s="102" t="s">
        <v>510</v>
      </c>
    </row>
    <row r="13" customFormat="false" ht="42" hidden="false" customHeight="true" outlineLevel="0" collapsed="false">
      <c r="B13" s="13" t="s">
        <v>511</v>
      </c>
      <c r="C13" s="14" t="s">
        <v>512</v>
      </c>
      <c r="D13" s="14" t="s">
        <v>513</v>
      </c>
      <c r="E13" s="99" t="s">
        <v>514</v>
      </c>
    </row>
    <row r="14" customFormat="false" ht="42" hidden="false" customHeight="true" outlineLevel="0" collapsed="false">
      <c r="B14" s="100" t="s">
        <v>515</v>
      </c>
      <c r="C14" s="101" t="s">
        <v>516</v>
      </c>
      <c r="D14" s="101" t="s">
        <v>517</v>
      </c>
      <c r="E14" s="102" t="s">
        <v>518</v>
      </c>
    </row>
    <row r="15" customFormat="false" ht="42" hidden="false" customHeight="true" outlineLevel="0" collapsed="false">
      <c r="B15" s="13" t="s">
        <v>397</v>
      </c>
      <c r="C15" s="14" t="s">
        <v>519</v>
      </c>
      <c r="D15" s="14" t="s">
        <v>520</v>
      </c>
      <c r="E15" s="99" t="s">
        <v>521</v>
      </c>
    </row>
    <row r="16" customFormat="false" ht="42" hidden="false" customHeight="true" outlineLevel="0" collapsed="false">
      <c r="B16" s="100" t="s">
        <v>400</v>
      </c>
      <c r="C16" s="101" t="s">
        <v>522</v>
      </c>
      <c r="D16" s="101" t="s">
        <v>523</v>
      </c>
      <c r="E16" s="102" t="s">
        <v>524</v>
      </c>
    </row>
    <row r="17" customFormat="false" ht="42" hidden="false" customHeight="true" outlineLevel="0" collapsed="false">
      <c r="B17" s="13" t="s">
        <v>403</v>
      </c>
      <c r="C17" s="14" t="s">
        <v>525</v>
      </c>
      <c r="D17" s="14" t="s">
        <v>526</v>
      </c>
      <c r="E17" s="99" t="s">
        <v>527</v>
      </c>
    </row>
    <row r="18" customFormat="false" ht="42" hidden="false" customHeight="true" outlineLevel="0" collapsed="false">
      <c r="B18" s="100" t="s">
        <v>405</v>
      </c>
      <c r="C18" s="101" t="s">
        <v>528</v>
      </c>
      <c r="D18" s="101" t="s">
        <v>529</v>
      </c>
      <c r="E18" s="102" t="s">
        <v>530</v>
      </c>
    </row>
    <row r="19" customFormat="false" ht="42" hidden="false" customHeight="true" outlineLevel="0" collapsed="false">
      <c r="B19" s="13" t="s">
        <v>375</v>
      </c>
      <c r="C19" s="14" t="s">
        <v>531</v>
      </c>
      <c r="D19" s="14" t="s">
        <v>532</v>
      </c>
      <c r="E19" s="99" t="s">
        <v>533</v>
      </c>
    </row>
    <row r="20" customFormat="false" ht="42" hidden="false" customHeight="true" outlineLevel="0" collapsed="false">
      <c r="B20" s="100" t="s">
        <v>409</v>
      </c>
      <c r="C20" s="101" t="s">
        <v>534</v>
      </c>
      <c r="D20" s="101" t="s">
        <v>535</v>
      </c>
      <c r="E20" s="102" t="s">
        <v>410</v>
      </c>
    </row>
    <row r="21" customFormat="false" ht="42" hidden="false" customHeight="true" outlineLevel="0" collapsed="false">
      <c r="B21" s="13" t="s">
        <v>411</v>
      </c>
      <c r="C21" s="14" t="s">
        <v>536</v>
      </c>
      <c r="D21" s="14" t="s">
        <v>537</v>
      </c>
      <c r="E21" s="99" t="s">
        <v>538</v>
      </c>
    </row>
    <row r="22" customFormat="false" ht="42" hidden="false" customHeight="true" outlineLevel="0" collapsed="false">
      <c r="B22" s="100" t="s">
        <v>539</v>
      </c>
      <c r="C22" s="101" t="s">
        <v>540</v>
      </c>
      <c r="D22" s="101" t="s">
        <v>541</v>
      </c>
      <c r="E22" s="102" t="s">
        <v>542</v>
      </c>
    </row>
    <row r="23" customFormat="false" ht="42" hidden="false" customHeight="true" outlineLevel="0" collapsed="false">
      <c r="B23" s="13" t="s">
        <v>415</v>
      </c>
      <c r="C23" s="14" t="s">
        <v>543</v>
      </c>
      <c r="D23" s="14" t="s">
        <v>544</v>
      </c>
      <c r="E23" s="99" t="s">
        <v>545</v>
      </c>
    </row>
    <row r="24" customFormat="false" ht="42" hidden="false" customHeight="true" outlineLevel="0" collapsed="false">
      <c r="B24" s="100" t="s">
        <v>417</v>
      </c>
      <c r="C24" s="101" t="s">
        <v>546</v>
      </c>
      <c r="D24" s="101" t="s">
        <v>547</v>
      </c>
      <c r="E24" s="102" t="s">
        <v>548</v>
      </c>
    </row>
    <row r="25" customFormat="false" ht="42" hidden="false" customHeight="true" outlineLevel="0" collapsed="false">
      <c r="B25" s="13" t="s">
        <v>549</v>
      </c>
      <c r="C25" s="14" t="s">
        <v>550</v>
      </c>
      <c r="D25" s="14" t="s">
        <v>551</v>
      </c>
      <c r="E25" s="99" t="s">
        <v>552</v>
      </c>
    </row>
    <row r="26" customFormat="false" ht="42" hidden="false" customHeight="true" outlineLevel="0" collapsed="false">
      <c r="B26" s="100" t="s">
        <v>422</v>
      </c>
      <c r="C26" s="101" t="s">
        <v>553</v>
      </c>
      <c r="D26" s="101" t="s">
        <v>544</v>
      </c>
      <c r="E26" s="102" t="s">
        <v>554</v>
      </c>
    </row>
    <row r="27" customFormat="false" ht="42" hidden="false" customHeight="true" outlineLevel="0" collapsed="false">
      <c r="B27" s="13" t="s">
        <v>424</v>
      </c>
      <c r="C27" s="14" t="s">
        <v>555</v>
      </c>
      <c r="D27" s="14" t="s">
        <v>556</v>
      </c>
      <c r="E27" s="99" t="s">
        <v>425</v>
      </c>
    </row>
    <row r="28" customFormat="false" ht="42" hidden="false" customHeight="true" outlineLevel="0" collapsed="false">
      <c r="B28" s="100" t="s">
        <v>426</v>
      </c>
      <c r="C28" s="101" t="s">
        <v>557</v>
      </c>
      <c r="D28" s="101" t="s">
        <v>558</v>
      </c>
      <c r="E28" s="102" t="s">
        <v>559</v>
      </c>
    </row>
    <row r="29" customFormat="false" ht="42" hidden="false" customHeight="true" outlineLevel="0" collapsed="false">
      <c r="B29" s="13" t="s">
        <v>428</v>
      </c>
      <c r="C29" s="14" t="s">
        <v>560</v>
      </c>
      <c r="D29" s="14" t="s">
        <v>561</v>
      </c>
      <c r="E29" s="99" t="s">
        <v>562</v>
      </c>
    </row>
    <row r="30" customFormat="false" ht="42" hidden="false" customHeight="true" outlineLevel="0" collapsed="false">
      <c r="B30" s="100" t="s">
        <v>563</v>
      </c>
      <c r="C30" s="101" t="s">
        <v>564</v>
      </c>
      <c r="D30" s="101" t="s">
        <v>565</v>
      </c>
      <c r="E30" s="102" t="s">
        <v>566</v>
      </c>
    </row>
    <row r="31" customFormat="false" ht="42" hidden="false" customHeight="true" outlineLevel="0" collapsed="false">
      <c r="B31" s="13" t="s">
        <v>433</v>
      </c>
      <c r="C31" s="14" t="s">
        <v>567</v>
      </c>
      <c r="D31" s="14" t="s">
        <v>568</v>
      </c>
      <c r="E31" s="99" t="s">
        <v>569</v>
      </c>
    </row>
    <row r="33" customFormat="false" ht="24" hidden="false" customHeight="true" outlineLevel="0" collapsed="false">
      <c r="B33" s="6" t="s">
        <v>570</v>
      </c>
      <c r="C33" s="6"/>
      <c r="D33" s="6"/>
      <c r="E33" s="6"/>
    </row>
    <row r="34" customFormat="false" ht="21.75" hidden="false" customHeight="true" outlineLevel="0" collapsed="false">
      <c r="B34" s="13" t="s">
        <v>571</v>
      </c>
      <c r="C34" s="14" t="s">
        <v>572</v>
      </c>
      <c r="D34" s="14"/>
      <c r="E34" s="14"/>
    </row>
    <row r="35" customFormat="false" ht="21.75" hidden="false" customHeight="true" outlineLevel="0" collapsed="false">
      <c r="B35" s="13" t="s">
        <v>305</v>
      </c>
      <c r="C35" s="14" t="s">
        <v>573</v>
      </c>
      <c r="D35" s="14"/>
      <c r="E35" s="14"/>
    </row>
    <row r="36" customFormat="false" ht="21.75" hidden="false" customHeight="true" outlineLevel="0" collapsed="false">
      <c r="B36" s="13" t="s">
        <v>574</v>
      </c>
      <c r="C36" s="14" t="s">
        <v>575</v>
      </c>
      <c r="D36" s="14"/>
      <c r="E36" s="14"/>
    </row>
    <row r="37" customFormat="false" ht="21.75" hidden="false" customHeight="true" outlineLevel="0" collapsed="false">
      <c r="B37" s="13" t="s">
        <v>576</v>
      </c>
      <c r="C37" s="14" t="s">
        <v>577</v>
      </c>
      <c r="D37" s="14"/>
      <c r="E37" s="14"/>
    </row>
    <row r="38" customFormat="false" ht="21.75" hidden="false" customHeight="true" outlineLevel="0" collapsed="false">
      <c r="B38" s="13" t="s">
        <v>369</v>
      </c>
      <c r="C38" s="14" t="s">
        <v>578</v>
      </c>
      <c r="D38" s="14"/>
      <c r="E38" s="14"/>
    </row>
    <row r="39" customFormat="false" ht="21.75" hidden="false" customHeight="true" outlineLevel="0" collapsed="false">
      <c r="B39" s="13" t="s">
        <v>579</v>
      </c>
      <c r="C39" s="14" t="s">
        <v>580</v>
      </c>
      <c r="D39" s="14"/>
      <c r="E39" s="14"/>
    </row>
    <row r="40" customFormat="false" ht="21.75" hidden="false" customHeight="true" outlineLevel="0" collapsed="false">
      <c r="B40" s="13" t="s">
        <v>581</v>
      </c>
      <c r="C40" s="14" t="s">
        <v>582</v>
      </c>
      <c r="D40" s="14"/>
      <c r="E40" s="14"/>
    </row>
    <row r="41" customFormat="false" ht="21.75" hidden="false" customHeight="true" outlineLevel="0" collapsed="false">
      <c r="B41" s="13" t="s">
        <v>583</v>
      </c>
      <c r="C41" s="14" t="s">
        <v>584</v>
      </c>
      <c r="D41" s="14"/>
      <c r="E41" s="14"/>
    </row>
  </sheetData>
  <mergeCells count="12">
    <mergeCell ref="B1:E1"/>
    <mergeCell ref="B2:E2"/>
    <mergeCell ref="B3:E3"/>
    <mergeCell ref="B33:E33"/>
    <mergeCell ref="C34:E34"/>
    <mergeCell ref="C35:E35"/>
    <mergeCell ref="C36:E36"/>
    <mergeCell ref="C37:E37"/>
    <mergeCell ref="C38:E38"/>
    <mergeCell ref="C39:E39"/>
    <mergeCell ref="C40:E40"/>
    <mergeCell ref="C41:E41"/>
  </mergeCells>
  <hyperlinks>
    <hyperlink ref="B4" location="'Accueil'!A1" display="← Accueil"/>
  </hyperlinks>
  <printOptions headings="false" gridLines="false" gridLinesSet="true" horizontalCentered="true" verticalCentered="false"/>
  <pageMargins left="0.4" right="0.4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&amp;L&amp;"Calibri,Bold"AéroAtlas Composites SARL&amp;CExercice 2025 — Arrêté au 31/12/2025&amp;RResp. : Karim El Fassi (DAF)</oddHeader>
    <oddFooter>&amp;L&amp;A&amp;C&amp;"Calibri,Bold"Document confidentiel&amp;RPage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2026-10-03T20:51:46Z</dcterms:created>
  <dc:creator>openpyxl</dc:creator>
  <dc:description/>
  <dc:language>en-US</dc:language>
  <cp:lastModifiedBy/>
  <dcterms:modified xsi:type="dcterms:W3CDTF">2026-10-03T20:51:50Z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